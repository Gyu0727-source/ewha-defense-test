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ch1\Desktop\"/>
    </mc:Choice>
  </mc:AlternateContent>
  <xr:revisionPtr revIDLastSave="0" documentId="13_ncr:1_{CC4B23F4-BD0E-4158-8CC8-02BA990DD0A1}" xr6:coauthVersionLast="47" xr6:coauthVersionMax="47" xr10:uidLastSave="{00000000-0000-0000-0000-000000000000}"/>
  <bookViews>
    <workbookView xWindow="-108" yWindow="-108" windowWidth="23256" windowHeight="12456" tabRatio="601" activeTab="1" xr2:uid="{00000000-000D-0000-FFFF-FFFF00000000}"/>
  </bookViews>
  <sheets>
    <sheet name="응답지_1" sheetId="4" r:id="rId1"/>
    <sheet name="결과지_1" sheetId="5" r:id="rId2"/>
    <sheet name="규준표11" sheetId="6" r:id="rId3"/>
    <sheet name="규준표12" sheetId="7" r:id="rId4"/>
    <sheet name="규준표21" sheetId="8" r:id="rId5"/>
    <sheet name="규준표22" sheetId="9" r:id="rId6"/>
    <sheet name="규준표31" sheetId="10" r:id="rId7"/>
    <sheet name="규준표32" sheetId="11" r:id="rId8"/>
    <sheet name="규준표41" sheetId="12" r:id="rId9"/>
    <sheet name="규준표42" sheetId="13" r:id="rId10"/>
  </sheets>
  <externalReferences>
    <externalReference r:id="rId11"/>
    <externalReference r:id="rId12"/>
  </externalReferences>
  <definedNames>
    <definedName name="_xlnm._FilterDatabase" localSheetId="6" hidden="1">규준표31!$A$1:$U$11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5" l="1"/>
  <c r="E2" i="5" s="1"/>
  <c r="C3" i="5"/>
  <c r="E3" i="5" s="1"/>
  <c r="V7" i="5"/>
  <c r="U13" i="9" s="1"/>
  <c r="U12" i="9" s="1"/>
  <c r="C7" i="5"/>
  <c r="B13" i="6" s="1"/>
  <c r="B12" i="6" s="1"/>
  <c r="D4" i="5"/>
  <c r="G4" i="5" s="1"/>
  <c r="D7" i="5"/>
  <c r="C13" i="6" s="1"/>
  <c r="C12" i="6" s="1"/>
  <c r="E7" i="5"/>
  <c r="D13" i="9" s="1"/>
  <c r="D12" i="9" s="1"/>
  <c r="F7" i="5"/>
  <c r="E13" i="6" s="1"/>
  <c r="E12" i="6" s="1"/>
  <c r="G7" i="5"/>
  <c r="F13" i="8" s="1"/>
  <c r="F12" i="8" s="1"/>
  <c r="H7" i="5"/>
  <c r="G13" i="7" s="1"/>
  <c r="G12" i="7" s="1"/>
  <c r="I7" i="5"/>
  <c r="H13" i="9" s="1"/>
  <c r="H12" i="9" s="1"/>
  <c r="J7" i="5"/>
  <c r="I13" i="6" s="1"/>
  <c r="I12" i="6" s="1"/>
  <c r="K7" i="5"/>
  <c r="J13" i="8" s="1"/>
  <c r="J12" i="8" s="1"/>
  <c r="L7" i="5"/>
  <c r="K13" i="7" s="1"/>
  <c r="K12" i="7" s="1"/>
  <c r="M7" i="5"/>
  <c r="L13" i="9" s="1"/>
  <c r="L12" i="9" s="1"/>
  <c r="N7" i="5"/>
  <c r="M13" i="7" s="1"/>
  <c r="M12" i="7" s="1"/>
  <c r="O7" i="5"/>
  <c r="N13" i="8" s="1"/>
  <c r="N12" i="8" s="1"/>
  <c r="P7" i="5"/>
  <c r="O13" i="7" s="1"/>
  <c r="O12" i="7" s="1"/>
  <c r="Q7" i="5"/>
  <c r="P13" i="9" s="1"/>
  <c r="P12" i="9" s="1"/>
  <c r="R7" i="5"/>
  <c r="Q13" i="7" s="1"/>
  <c r="Q12" i="7" s="1"/>
  <c r="S7" i="5"/>
  <c r="R13" i="8" s="1"/>
  <c r="R12" i="8" s="1"/>
  <c r="T7" i="5"/>
  <c r="S13" i="7" s="1"/>
  <c r="S12" i="7" s="1"/>
  <c r="U7" i="5"/>
  <c r="T13" i="9" s="1"/>
  <c r="T12" i="9" s="1"/>
  <c r="G2" i="5" l="1"/>
  <c r="T13" i="10"/>
  <c r="T12" i="10" s="1"/>
  <c r="L13" i="11"/>
  <c r="L12" i="11" s="1"/>
  <c r="T13" i="12"/>
  <c r="T12" i="12" s="1"/>
  <c r="H13" i="10"/>
  <c r="H12" i="10" s="1"/>
  <c r="P13" i="11"/>
  <c r="P12" i="11" s="1"/>
  <c r="H13" i="12"/>
  <c r="H12" i="12" s="1"/>
  <c r="J13" i="13"/>
  <c r="J12" i="13" s="1"/>
  <c r="F13" i="10"/>
  <c r="F12" i="10" s="1"/>
  <c r="L13" i="10"/>
  <c r="L12" i="10" s="1"/>
  <c r="F13" i="11"/>
  <c r="F12" i="11" s="1"/>
  <c r="T13" i="11"/>
  <c r="T12" i="11" s="1"/>
  <c r="L13" i="12"/>
  <c r="L12" i="12" s="1"/>
  <c r="N13" i="13"/>
  <c r="N12" i="13" s="1"/>
  <c r="F13" i="12"/>
  <c r="F12" i="12" s="1"/>
  <c r="P13" i="10"/>
  <c r="P12" i="10" s="1"/>
  <c r="H13" i="11"/>
  <c r="H12" i="11" s="1"/>
  <c r="P13" i="12"/>
  <c r="P12" i="12" s="1"/>
  <c r="R13" i="13"/>
  <c r="R12" i="13" s="1"/>
  <c r="I13" i="10"/>
  <c r="I12" i="10" s="1"/>
  <c r="M13" i="10"/>
  <c r="M12" i="10" s="1"/>
  <c r="Q13" i="10"/>
  <c r="Q12" i="10" s="1"/>
  <c r="U13" i="10"/>
  <c r="U12" i="10" s="1"/>
  <c r="I13" i="11"/>
  <c r="I12" i="11" s="1"/>
  <c r="M13" i="11"/>
  <c r="M12" i="11" s="1"/>
  <c r="Q13" i="11"/>
  <c r="Q12" i="11" s="1"/>
  <c r="U13" i="11"/>
  <c r="U12" i="11" s="1"/>
  <c r="I13" i="12"/>
  <c r="I12" i="12" s="1"/>
  <c r="M13" i="12"/>
  <c r="M12" i="12" s="1"/>
  <c r="Q13" i="12"/>
  <c r="Q12" i="12" s="1"/>
  <c r="U13" i="12"/>
  <c r="U12" i="12" s="1"/>
  <c r="G13" i="13"/>
  <c r="G12" i="13" s="1"/>
  <c r="K13" i="13"/>
  <c r="K12" i="13" s="1"/>
  <c r="O13" i="13"/>
  <c r="O12" i="13" s="1"/>
  <c r="S13" i="13"/>
  <c r="S12" i="13" s="1"/>
  <c r="J13" i="10"/>
  <c r="J12" i="10" s="1"/>
  <c r="N13" i="10"/>
  <c r="N12" i="10" s="1"/>
  <c r="R13" i="10"/>
  <c r="R12" i="10" s="1"/>
  <c r="J13" i="11"/>
  <c r="J12" i="11" s="1"/>
  <c r="N13" i="11"/>
  <c r="N12" i="11" s="1"/>
  <c r="O8" i="5" s="1"/>
  <c r="J27" i="5" s="1"/>
  <c r="H32" i="5" s="1"/>
  <c r="R13" i="11"/>
  <c r="R12" i="11" s="1"/>
  <c r="J13" i="12"/>
  <c r="J12" i="12" s="1"/>
  <c r="N13" i="12"/>
  <c r="N12" i="12" s="1"/>
  <c r="R13" i="12"/>
  <c r="R12" i="12" s="1"/>
  <c r="H13" i="13"/>
  <c r="H12" i="13" s="1"/>
  <c r="L13" i="13"/>
  <c r="L12" i="13" s="1"/>
  <c r="P13" i="13"/>
  <c r="P12" i="13" s="1"/>
  <c r="T13" i="13"/>
  <c r="T12" i="13" s="1"/>
  <c r="G13" i="10"/>
  <c r="G12" i="10" s="1"/>
  <c r="K13" i="10"/>
  <c r="K12" i="10" s="1"/>
  <c r="O13" i="10"/>
  <c r="O12" i="10" s="1"/>
  <c r="S13" i="10"/>
  <c r="S12" i="10" s="1"/>
  <c r="G13" i="11"/>
  <c r="G12" i="11" s="1"/>
  <c r="K13" i="11"/>
  <c r="K12" i="11" s="1"/>
  <c r="O13" i="11"/>
  <c r="O12" i="11" s="1"/>
  <c r="S13" i="11"/>
  <c r="S12" i="11" s="1"/>
  <c r="G13" i="12"/>
  <c r="G12" i="12" s="1"/>
  <c r="K13" i="12"/>
  <c r="K12" i="12" s="1"/>
  <c r="O13" i="12"/>
  <c r="O12" i="12" s="1"/>
  <c r="S13" i="12"/>
  <c r="S12" i="12" s="1"/>
  <c r="I13" i="13"/>
  <c r="I12" i="13" s="1"/>
  <c r="M13" i="13"/>
  <c r="M12" i="13" s="1"/>
  <c r="Q13" i="13"/>
  <c r="Q12" i="13" s="1"/>
  <c r="U13" i="13"/>
  <c r="U12" i="13" s="1"/>
  <c r="F13" i="13"/>
  <c r="F12" i="13" s="1"/>
  <c r="E13" i="10"/>
  <c r="E12" i="10" s="1"/>
  <c r="E13" i="12"/>
  <c r="E12" i="12" s="1"/>
  <c r="E13" i="11"/>
  <c r="E12" i="11" s="1"/>
  <c r="E13" i="13"/>
  <c r="E12" i="13" s="1"/>
  <c r="D13" i="10"/>
  <c r="D12" i="10" s="1"/>
  <c r="D13" i="11"/>
  <c r="D12" i="11" s="1"/>
  <c r="D13" i="12"/>
  <c r="D12" i="12" s="1"/>
  <c r="D13" i="13"/>
  <c r="D12" i="13" s="1"/>
  <c r="C13" i="11"/>
  <c r="C12" i="11" s="1"/>
  <c r="C13" i="13"/>
  <c r="C12" i="13" s="1"/>
  <c r="C13" i="10"/>
  <c r="C12" i="10" s="1"/>
  <c r="C13" i="12"/>
  <c r="C12" i="12" s="1"/>
  <c r="B13" i="10"/>
  <c r="B12" i="10" s="1"/>
  <c r="B13" i="13"/>
  <c r="B12" i="13" s="1"/>
  <c r="B13" i="11"/>
  <c r="B12" i="11" s="1"/>
  <c r="B13" i="12"/>
  <c r="B12" i="12" s="1"/>
  <c r="E13" i="8"/>
  <c r="E12" i="8" s="1"/>
  <c r="F8" i="5" s="1"/>
  <c r="F25" i="5" s="1"/>
  <c r="J32" i="5" s="1"/>
  <c r="E13" i="9"/>
  <c r="E12" i="9" s="1"/>
  <c r="M13" i="8"/>
  <c r="M12" i="8" s="1"/>
  <c r="Q13" i="6"/>
  <c r="Q12" i="6" s="1"/>
  <c r="M13" i="9"/>
  <c r="M12" i="9" s="1"/>
  <c r="O13" i="6"/>
  <c r="O12" i="6" s="1"/>
  <c r="G13" i="8"/>
  <c r="G12" i="8" s="1"/>
  <c r="O13" i="8"/>
  <c r="O12" i="8" s="1"/>
  <c r="G13" i="9"/>
  <c r="G12" i="9" s="1"/>
  <c r="O13" i="9"/>
  <c r="O12" i="9" s="1"/>
  <c r="M13" i="6"/>
  <c r="M12" i="6" s="1"/>
  <c r="I13" i="8"/>
  <c r="I12" i="8" s="1"/>
  <c r="Q13" i="8"/>
  <c r="Q12" i="8" s="1"/>
  <c r="R8" i="5" s="1"/>
  <c r="H25" i="5" s="1"/>
  <c r="E32" i="5" s="1"/>
  <c r="I13" i="9"/>
  <c r="I12" i="9" s="1"/>
  <c r="Q13" i="9"/>
  <c r="Q12" i="9" s="1"/>
  <c r="S13" i="6"/>
  <c r="S12" i="6" s="1"/>
  <c r="K13" i="8"/>
  <c r="K12" i="8" s="1"/>
  <c r="S13" i="8"/>
  <c r="S12" i="8" s="1"/>
  <c r="K13" i="9"/>
  <c r="K12" i="9" s="1"/>
  <c r="S13" i="9"/>
  <c r="S12" i="9" s="1"/>
  <c r="H13" i="6"/>
  <c r="H12" i="6" s="1"/>
  <c r="D13" i="6"/>
  <c r="D12" i="6" s="1"/>
  <c r="D13" i="7"/>
  <c r="D12" i="7" s="1"/>
  <c r="H13" i="7"/>
  <c r="H12" i="7" s="1"/>
  <c r="L13" i="7"/>
  <c r="L12" i="7" s="1"/>
  <c r="P13" i="7"/>
  <c r="P12" i="7" s="1"/>
  <c r="T13" i="7"/>
  <c r="T12" i="7" s="1"/>
  <c r="K13" i="6"/>
  <c r="K12" i="6" s="1"/>
  <c r="G13" i="6"/>
  <c r="G12" i="6" s="1"/>
  <c r="T13" i="6"/>
  <c r="T12" i="6" s="1"/>
  <c r="P13" i="6"/>
  <c r="P12" i="6" s="1"/>
  <c r="L13" i="6"/>
  <c r="L12" i="6" s="1"/>
  <c r="E13" i="7"/>
  <c r="E12" i="7" s="1"/>
  <c r="I13" i="7"/>
  <c r="I12" i="7" s="1"/>
  <c r="D13" i="8"/>
  <c r="D12" i="8" s="1"/>
  <c r="H13" i="8"/>
  <c r="H12" i="8" s="1"/>
  <c r="I8" i="5" s="1"/>
  <c r="L13" i="8"/>
  <c r="L12" i="8" s="1"/>
  <c r="M8" i="5" s="1"/>
  <c r="F29" i="5" s="1"/>
  <c r="H38" i="5" s="1"/>
  <c r="P13" i="8"/>
  <c r="P12" i="8" s="1"/>
  <c r="T13" i="8"/>
  <c r="T12" i="8" s="1"/>
  <c r="F13" i="9"/>
  <c r="F12" i="9" s="1"/>
  <c r="J13" i="9"/>
  <c r="J12" i="9" s="1"/>
  <c r="N13" i="9"/>
  <c r="N12" i="9" s="1"/>
  <c r="R13" i="9"/>
  <c r="R12" i="9" s="1"/>
  <c r="J13" i="6"/>
  <c r="J12" i="6" s="1"/>
  <c r="F13" i="7"/>
  <c r="F12" i="7" s="1"/>
  <c r="J13" i="7"/>
  <c r="J12" i="7" s="1"/>
  <c r="N13" i="7"/>
  <c r="N12" i="7" s="1"/>
  <c r="R13" i="7"/>
  <c r="R12" i="7" s="1"/>
  <c r="F13" i="6"/>
  <c r="F12" i="6" s="1"/>
  <c r="R13" i="6"/>
  <c r="R12" i="6" s="1"/>
  <c r="N13" i="6"/>
  <c r="N12" i="6" s="1"/>
  <c r="C13" i="8"/>
  <c r="C12" i="8" s="1"/>
  <c r="C13" i="7"/>
  <c r="C12" i="7" s="1"/>
  <c r="C13" i="9"/>
  <c r="C12" i="9" s="1"/>
  <c r="U13" i="6"/>
  <c r="U12" i="6" s="1"/>
  <c r="U13" i="7"/>
  <c r="U12" i="7" s="1"/>
  <c r="U13" i="8"/>
  <c r="U12" i="8" s="1"/>
  <c r="B13" i="9"/>
  <c r="B12" i="9" s="1"/>
  <c r="B13" i="7"/>
  <c r="B12" i="7" s="1"/>
  <c r="B13" i="8"/>
  <c r="B12" i="8" s="1"/>
  <c r="C8" i="5" s="1"/>
  <c r="E27" i="5" s="1"/>
  <c r="U8" i="5" l="1"/>
  <c r="I29" i="5" s="1"/>
  <c r="H34" i="5" s="1"/>
  <c r="Q8" i="5"/>
  <c r="G29" i="5" s="1"/>
  <c r="I34" i="5" s="1"/>
  <c r="V8" i="5"/>
  <c r="J25" i="5" s="1"/>
  <c r="I38" i="5" s="1"/>
  <c r="L8" i="5"/>
  <c r="L12" i="5" s="1"/>
  <c r="H8" i="5"/>
  <c r="G27" i="5" s="1"/>
  <c r="F32" i="5" s="1"/>
  <c r="J8" i="5"/>
  <c r="H27" i="5" s="1"/>
  <c r="E34" i="5" s="1"/>
  <c r="P8" i="5"/>
  <c r="G25" i="5" s="1"/>
  <c r="G32" i="5" s="1"/>
  <c r="G8" i="5"/>
  <c r="E23" i="5" s="1"/>
  <c r="I32" i="5" s="1"/>
  <c r="E8" i="5"/>
  <c r="E25" i="5" s="1"/>
  <c r="G36" i="5" s="1"/>
  <c r="D8" i="5"/>
  <c r="F27" i="5" s="1"/>
  <c r="E36" i="5" s="1"/>
  <c r="T8" i="5"/>
  <c r="I25" i="5" s="1"/>
  <c r="H36" i="5" s="1"/>
  <c r="K8" i="5"/>
  <c r="E29" i="5" s="1"/>
  <c r="S8" i="5"/>
  <c r="H29" i="5" s="1"/>
  <c r="G34" i="5" s="1"/>
  <c r="N8" i="5"/>
  <c r="I27" i="5" s="1"/>
  <c r="F38" i="5" s="1"/>
  <c r="F36" i="5"/>
  <c r="I14" i="5"/>
  <c r="I16" i="5"/>
  <c r="I18" i="5"/>
  <c r="I20" i="5"/>
  <c r="I12" i="5"/>
  <c r="F23" i="5"/>
  <c r="E38" i="5" s="1"/>
  <c r="I15" i="5"/>
  <c r="I17" i="5"/>
  <c r="I19" i="5"/>
  <c r="I13" i="5"/>
  <c r="I11" i="5"/>
  <c r="U14" i="5"/>
  <c r="U16" i="5"/>
  <c r="U18" i="5"/>
  <c r="U15" i="5"/>
  <c r="U17" i="5"/>
  <c r="U19" i="5"/>
  <c r="U13" i="5"/>
  <c r="U11" i="5"/>
  <c r="U20" i="5"/>
  <c r="U12" i="5"/>
  <c r="Q18" i="5"/>
  <c r="Q20" i="5"/>
  <c r="V14" i="5"/>
  <c r="V12" i="5"/>
  <c r="M14" i="5"/>
  <c r="M18" i="5"/>
  <c r="M20" i="5"/>
  <c r="M15" i="5"/>
  <c r="M17" i="5"/>
  <c r="M19" i="5"/>
  <c r="M13" i="5"/>
  <c r="M11" i="5"/>
  <c r="M16" i="5"/>
  <c r="M12" i="5"/>
  <c r="R14" i="5"/>
  <c r="R16" i="5"/>
  <c r="R18" i="5"/>
  <c r="R20" i="5"/>
  <c r="R12" i="5"/>
  <c r="R15" i="5"/>
  <c r="R17" i="5"/>
  <c r="R19" i="5"/>
  <c r="R13" i="5"/>
  <c r="R11" i="5"/>
  <c r="F14" i="5"/>
  <c r="F16" i="5"/>
  <c r="F18" i="5"/>
  <c r="F20" i="5"/>
  <c r="F12" i="5"/>
  <c r="F15" i="5"/>
  <c r="F17" i="5"/>
  <c r="F19" i="5"/>
  <c r="F13" i="5"/>
  <c r="F11" i="5"/>
  <c r="O15" i="5"/>
  <c r="O17" i="5"/>
  <c r="O19" i="5"/>
  <c r="O11" i="5"/>
  <c r="O14" i="5"/>
  <c r="O16" i="5"/>
  <c r="O18" i="5"/>
  <c r="O20" i="5"/>
  <c r="O12" i="5"/>
  <c r="O13" i="5"/>
  <c r="C20" i="5"/>
  <c r="C16" i="5"/>
  <c r="C15" i="5"/>
  <c r="C18" i="5"/>
  <c r="C14" i="5"/>
  <c r="C13" i="5"/>
  <c r="C12" i="5"/>
  <c r="C11" i="5"/>
  <c r="C19" i="5"/>
  <c r="C17" i="5"/>
  <c r="V13" i="5" l="1"/>
  <c r="V19" i="5"/>
  <c r="Q19" i="5"/>
  <c r="Q15" i="5"/>
  <c r="Q16" i="5"/>
  <c r="Q11" i="5"/>
  <c r="Q13" i="5"/>
  <c r="Q17" i="5"/>
  <c r="Q12" i="5"/>
  <c r="Q14" i="5"/>
  <c r="L11" i="5"/>
  <c r="L13" i="5"/>
  <c r="L17" i="5"/>
  <c r="L15" i="5"/>
  <c r="V11" i="5"/>
  <c r="V17" i="5"/>
  <c r="V15" i="5"/>
  <c r="L19" i="5"/>
  <c r="H17" i="5"/>
  <c r="J17" i="5"/>
  <c r="V20" i="5"/>
  <c r="V18" i="5"/>
  <c r="V16" i="5"/>
  <c r="L20" i="5"/>
  <c r="L18" i="5"/>
  <c r="L16" i="5"/>
  <c r="L14" i="5"/>
  <c r="H19" i="5"/>
  <c r="P20" i="5"/>
  <c r="J13" i="5"/>
  <c r="H12" i="5"/>
  <c r="H18" i="5"/>
  <c r="H20" i="5"/>
  <c r="H16" i="5"/>
  <c r="G17" i="5"/>
  <c r="G23" i="5"/>
  <c r="F34" i="5" s="1"/>
  <c r="J15" i="5"/>
  <c r="J12" i="5"/>
  <c r="H14" i="5"/>
  <c r="H13" i="5"/>
  <c r="G15" i="5"/>
  <c r="T16" i="5"/>
  <c r="P18" i="5"/>
  <c r="J11" i="5"/>
  <c r="H11" i="5"/>
  <c r="D11" i="5"/>
  <c r="E14" i="5"/>
  <c r="E16" i="5"/>
  <c r="G12" i="5"/>
  <c r="G18" i="5"/>
  <c r="G20" i="5"/>
  <c r="G14" i="5"/>
  <c r="G19" i="5"/>
  <c r="H15" i="5"/>
  <c r="J20" i="5"/>
  <c r="J16" i="5"/>
  <c r="J18" i="5"/>
  <c r="J14" i="5"/>
  <c r="J19" i="5"/>
  <c r="G16" i="5"/>
  <c r="G11" i="5"/>
  <c r="G13" i="5"/>
  <c r="D14" i="5"/>
  <c r="D13" i="5"/>
  <c r="D17" i="5"/>
  <c r="T18" i="5"/>
  <c r="T17" i="5"/>
  <c r="T12" i="5"/>
  <c r="T15" i="5"/>
  <c r="T20" i="5"/>
  <c r="P26" i="5"/>
  <c r="P16" i="5"/>
  <c r="P14" i="5"/>
  <c r="N17" i="5"/>
  <c r="N15" i="5"/>
  <c r="G38" i="5"/>
  <c r="K15" i="5"/>
  <c r="K12" i="5"/>
  <c r="K11" i="5"/>
  <c r="K20" i="5"/>
  <c r="K13" i="5"/>
  <c r="K19" i="5"/>
  <c r="K17" i="5"/>
  <c r="K18" i="5"/>
  <c r="E12" i="5"/>
  <c r="E20" i="5"/>
  <c r="E11" i="5"/>
  <c r="E13" i="5"/>
  <c r="E19" i="5"/>
  <c r="E17" i="5"/>
  <c r="E15" i="5"/>
  <c r="E18" i="5"/>
  <c r="D15" i="5"/>
  <c r="D19" i="5"/>
  <c r="D18" i="5"/>
  <c r="D20" i="5"/>
  <c r="D16" i="5"/>
  <c r="D12" i="5"/>
  <c r="T11" i="5"/>
  <c r="T13" i="5"/>
  <c r="T14" i="5"/>
  <c r="T19" i="5"/>
  <c r="S18" i="5"/>
  <c r="S14" i="5"/>
  <c r="S19" i="5"/>
  <c r="S11" i="5"/>
  <c r="S12" i="5"/>
  <c r="S20" i="5"/>
  <c r="S17" i="5"/>
  <c r="S16" i="5"/>
  <c r="S13" i="5"/>
  <c r="S15" i="5"/>
  <c r="P11" i="5"/>
  <c r="P13" i="5"/>
  <c r="P19" i="5"/>
  <c r="P24" i="5"/>
  <c r="P17" i="5"/>
  <c r="P15" i="5"/>
  <c r="P12" i="5"/>
  <c r="N20" i="5"/>
  <c r="N18" i="5"/>
  <c r="N14" i="5"/>
  <c r="N12" i="5"/>
  <c r="N11" i="5"/>
  <c r="P25" i="5"/>
  <c r="N16" i="5"/>
  <c r="N13" i="5"/>
  <c r="N19" i="5"/>
  <c r="K16" i="5"/>
  <c r="K14" i="5"/>
  <c r="N26" i="5" l="1"/>
  <c r="N25" i="5"/>
  <c r="N24" i="5"/>
</calcChain>
</file>

<file path=xl/sharedStrings.xml><?xml version="1.0" encoding="utf-8"?>
<sst xmlns="http://schemas.openxmlformats.org/spreadsheetml/2006/main" count="283" uniqueCount="83">
  <si>
    <t>척도</t>
    <phoneticPr fontId="2" type="noConversion"/>
  </si>
  <si>
    <t>원점수</t>
    <phoneticPr fontId="2" type="noConversion"/>
  </si>
  <si>
    <t>문항</t>
    <phoneticPr fontId="2" type="noConversion"/>
  </si>
  <si>
    <t>응답</t>
    <phoneticPr fontId="2" type="noConversion"/>
  </si>
  <si>
    <t>이름</t>
    <phoneticPr fontId="2" type="noConversion"/>
  </si>
  <si>
    <t>나이</t>
    <phoneticPr fontId="2" type="noConversion"/>
  </si>
  <si>
    <t>성별</t>
    <phoneticPr fontId="2" type="noConversion"/>
  </si>
  <si>
    <t>이화방어기제검사 응답지</t>
    <phoneticPr fontId="2" type="noConversion"/>
  </si>
  <si>
    <t>허세</t>
    <phoneticPr fontId="2" type="noConversion"/>
  </si>
  <si>
    <t>스텐점수</t>
    <phoneticPr fontId="2" type="noConversion"/>
  </si>
  <si>
    <t>반동형성</t>
    <phoneticPr fontId="2" type="noConversion"/>
  </si>
  <si>
    <t>동일시</t>
    <phoneticPr fontId="2" type="noConversion"/>
  </si>
  <si>
    <t>수동-공격적</t>
    <phoneticPr fontId="2" type="noConversion"/>
  </si>
  <si>
    <t>투사</t>
    <phoneticPr fontId="2" type="noConversion"/>
  </si>
  <si>
    <t>전치</t>
    <phoneticPr fontId="2" type="noConversion"/>
  </si>
  <si>
    <t>부정</t>
    <phoneticPr fontId="2" type="noConversion"/>
  </si>
  <si>
    <t>통제</t>
    <phoneticPr fontId="2" type="noConversion"/>
  </si>
  <si>
    <t>억제</t>
    <phoneticPr fontId="2" type="noConversion"/>
  </si>
  <si>
    <t>왜곡</t>
    <phoneticPr fontId="2" type="noConversion"/>
  </si>
  <si>
    <t>예견</t>
    <phoneticPr fontId="2" type="noConversion"/>
  </si>
  <si>
    <t>합리화</t>
    <phoneticPr fontId="2" type="noConversion"/>
  </si>
  <si>
    <t>해리</t>
    <phoneticPr fontId="2" type="noConversion"/>
  </si>
  <si>
    <t>신체화</t>
    <phoneticPr fontId="2" type="noConversion"/>
  </si>
  <si>
    <t>승화</t>
    <phoneticPr fontId="2" type="noConversion"/>
  </si>
  <si>
    <t>행동화</t>
    <phoneticPr fontId="2" type="noConversion"/>
  </si>
  <si>
    <t>이타주의</t>
    <phoneticPr fontId="2" type="noConversion"/>
  </si>
  <si>
    <t>퇴행</t>
    <phoneticPr fontId="2" type="noConversion"/>
  </si>
  <si>
    <t>유머</t>
    <phoneticPr fontId="2" type="noConversion"/>
  </si>
  <si>
    <t>회피</t>
    <phoneticPr fontId="2" type="noConversion"/>
  </si>
  <si>
    <t>무응답 개수</t>
    <phoneticPr fontId="2" type="noConversion"/>
  </si>
  <si>
    <t>*181</t>
    <phoneticPr fontId="2" type="noConversion"/>
  </si>
  <si>
    <t>나이코드</t>
    <phoneticPr fontId="2" type="noConversion"/>
  </si>
  <si>
    <t>성별코드</t>
    <phoneticPr fontId="2" type="noConversion"/>
  </si>
  <si>
    <t>30-39세, 남</t>
    <phoneticPr fontId="2" type="noConversion"/>
  </si>
  <si>
    <t>15-29세, 여</t>
    <phoneticPr fontId="2" type="noConversion"/>
  </si>
  <si>
    <t>15-29세, 남</t>
    <phoneticPr fontId="2" type="noConversion"/>
  </si>
  <si>
    <t>규준표코드</t>
    <phoneticPr fontId="2" type="noConversion"/>
  </si>
  <si>
    <t>무응답 비율</t>
    <phoneticPr fontId="2" type="noConversion"/>
  </si>
  <si>
    <t>30-39세, 여</t>
    <phoneticPr fontId="2" type="noConversion"/>
  </si>
  <si>
    <t>40-49세, 남</t>
    <phoneticPr fontId="2" type="noConversion"/>
  </si>
  <si>
    <t>40-49세, 여</t>
    <phoneticPr fontId="2" type="noConversion"/>
  </si>
  <si>
    <t>50세 이상, 남</t>
    <phoneticPr fontId="2" type="noConversion"/>
  </si>
  <si>
    <t>50세 이상, 여</t>
    <phoneticPr fontId="2" type="noConversion"/>
  </si>
  <si>
    <t>백분위</t>
    <phoneticPr fontId="2" type="noConversion"/>
  </si>
  <si>
    <t>수동공격</t>
    <phoneticPr fontId="2" type="noConversion"/>
  </si>
  <si>
    <t>성숙단계</t>
    <phoneticPr fontId="2" type="noConversion"/>
  </si>
  <si>
    <t>요인분석</t>
    <phoneticPr fontId="2" type="noConversion"/>
  </si>
  <si>
    <t>I. 자아도취 단계</t>
    <phoneticPr fontId="2" type="noConversion"/>
  </si>
  <si>
    <t>II. 미성숙 단계</t>
    <phoneticPr fontId="2" type="noConversion"/>
  </si>
  <si>
    <t>III. 신경증적 단계</t>
    <phoneticPr fontId="2" type="noConversion"/>
  </si>
  <si>
    <t>IV. 성숙 단계</t>
    <phoneticPr fontId="2" type="noConversion"/>
  </si>
  <si>
    <t>투사</t>
    <phoneticPr fontId="2" type="noConversion"/>
  </si>
  <si>
    <t>부정</t>
    <phoneticPr fontId="2" type="noConversion"/>
  </si>
  <si>
    <t>왜곡</t>
    <phoneticPr fontId="2" type="noConversion"/>
  </si>
  <si>
    <t>동일시</t>
    <phoneticPr fontId="2" type="noConversion"/>
  </si>
  <si>
    <t>수동공격</t>
    <phoneticPr fontId="2" type="noConversion"/>
  </si>
  <si>
    <t>신체화</t>
    <phoneticPr fontId="2" type="noConversion"/>
  </si>
  <si>
    <t>행동화</t>
    <phoneticPr fontId="2" type="noConversion"/>
  </si>
  <si>
    <t>퇴행</t>
    <phoneticPr fontId="2" type="noConversion"/>
  </si>
  <si>
    <t>회피</t>
    <phoneticPr fontId="2" type="noConversion"/>
  </si>
  <si>
    <t>허세</t>
    <phoneticPr fontId="2" type="noConversion"/>
  </si>
  <si>
    <t>반동형성</t>
    <phoneticPr fontId="2" type="noConversion"/>
  </si>
  <si>
    <t>전치</t>
    <phoneticPr fontId="2" type="noConversion"/>
  </si>
  <si>
    <t>통제</t>
    <phoneticPr fontId="2" type="noConversion"/>
  </si>
  <si>
    <t>합리화</t>
    <phoneticPr fontId="2" type="noConversion"/>
  </si>
  <si>
    <t>해리</t>
    <phoneticPr fontId="2" type="noConversion"/>
  </si>
  <si>
    <t>억제</t>
    <phoneticPr fontId="2" type="noConversion"/>
  </si>
  <si>
    <t>예견</t>
    <phoneticPr fontId="2" type="noConversion"/>
  </si>
  <si>
    <t>승화</t>
    <phoneticPr fontId="2" type="noConversion"/>
  </si>
  <si>
    <t xml:space="preserve">이타주의 </t>
    <phoneticPr fontId="2" type="noConversion"/>
  </si>
  <si>
    <t>유머</t>
    <phoneticPr fontId="2" type="noConversion"/>
  </si>
  <si>
    <t>I. 불안정한 예민화</t>
    <phoneticPr fontId="2" type="noConversion"/>
  </si>
  <si>
    <t>II. 자아확대적</t>
    <phoneticPr fontId="2" type="noConversion"/>
  </si>
  <si>
    <t>III. 자아부정적</t>
    <phoneticPr fontId="2" type="noConversion"/>
  </si>
  <si>
    <t>IV. 행동부정적</t>
    <phoneticPr fontId="2" type="noConversion"/>
  </si>
  <si>
    <t>이타주의</t>
    <phoneticPr fontId="2" type="noConversion"/>
  </si>
  <si>
    <t>성숙단계 비율</t>
    <phoneticPr fontId="2" type="noConversion"/>
  </si>
  <si>
    <t>I : II</t>
    <phoneticPr fontId="2" type="noConversion"/>
  </si>
  <si>
    <t>I : III</t>
    <phoneticPr fontId="2" type="noConversion"/>
  </si>
  <si>
    <t>I : IV</t>
    <phoneticPr fontId="2" type="noConversion"/>
  </si>
  <si>
    <t>:</t>
    <phoneticPr fontId="2" type="noConversion"/>
  </si>
  <si>
    <t>심유리</t>
    <phoneticPr fontId="2" type="noConversion"/>
  </si>
  <si>
    <t>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</si>
</sst>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hair">
        <color theme="1"/>
      </right>
      <top style="thin">
        <color indexed="64"/>
      </top>
      <bottom/>
      <diagonal/>
    </border>
    <border>
      <left style="thin">
        <color indexed="64"/>
      </left>
      <right style="hair">
        <color theme="1"/>
      </right>
      <top/>
      <bottom/>
      <diagonal/>
    </border>
    <border>
      <left style="thin">
        <color indexed="64"/>
      </left>
      <right style="hair">
        <color theme="1"/>
      </right>
      <top/>
      <bottom style="dashed">
        <color rgb="FFFF0000"/>
      </bottom>
      <diagonal/>
    </border>
    <border>
      <left style="thin">
        <color indexed="64"/>
      </left>
      <right style="hair">
        <color theme="1"/>
      </right>
      <top style="dashed">
        <color rgb="FFFF0000"/>
      </top>
      <bottom/>
      <diagonal/>
    </border>
    <border>
      <left style="thin">
        <color indexed="64"/>
      </left>
      <right style="hair">
        <color theme="1"/>
      </right>
      <top/>
      <bottom style="thin">
        <color indexed="64"/>
      </bottom>
      <diagonal/>
    </border>
    <border>
      <left style="hair">
        <color theme="1"/>
      </left>
      <right style="hair">
        <color theme="1"/>
      </right>
      <top style="thin">
        <color indexed="64"/>
      </top>
      <bottom/>
      <diagonal/>
    </border>
    <border>
      <left style="hair">
        <color theme="1"/>
      </left>
      <right style="hair">
        <color theme="1"/>
      </right>
      <top/>
      <bottom/>
      <diagonal/>
    </border>
    <border>
      <left style="hair">
        <color theme="1"/>
      </left>
      <right style="hair">
        <color theme="1"/>
      </right>
      <top/>
      <bottom style="dashed">
        <color rgb="FFFF0000"/>
      </bottom>
      <diagonal/>
    </border>
    <border>
      <left style="hair">
        <color theme="1"/>
      </left>
      <right style="hair">
        <color theme="1"/>
      </right>
      <top style="dashed">
        <color rgb="FFFF0000"/>
      </top>
      <bottom/>
      <diagonal/>
    </border>
    <border>
      <left style="hair">
        <color theme="1"/>
      </left>
      <right style="hair">
        <color theme="1"/>
      </right>
      <top/>
      <bottom style="thin">
        <color indexed="64"/>
      </bottom>
      <diagonal/>
    </border>
    <border>
      <left style="hair">
        <color theme="1"/>
      </left>
      <right style="thin">
        <color theme="1"/>
      </right>
      <top style="thin">
        <color theme="1"/>
      </top>
      <bottom/>
      <diagonal/>
    </border>
    <border>
      <left style="hair">
        <color theme="1"/>
      </left>
      <right style="thin">
        <color theme="1"/>
      </right>
      <top/>
      <bottom/>
      <diagonal/>
    </border>
    <border>
      <left style="hair">
        <color theme="1"/>
      </left>
      <right style="thin">
        <color theme="1"/>
      </right>
      <top/>
      <bottom style="dashed">
        <color rgb="FFFF0000"/>
      </bottom>
      <diagonal/>
    </border>
    <border>
      <left style="hair">
        <color theme="1"/>
      </left>
      <right style="thin">
        <color theme="1"/>
      </right>
      <top style="dashed">
        <color rgb="FFFF0000"/>
      </top>
      <bottom/>
      <diagonal/>
    </border>
    <border>
      <left style="hair">
        <color theme="1"/>
      </left>
      <right style="thin">
        <color theme="1"/>
      </right>
      <top/>
      <bottom style="thin">
        <color indexed="64"/>
      </bottom>
      <diagonal/>
    </border>
    <border>
      <left style="hair">
        <color indexed="64"/>
      </left>
      <right style="medium">
        <color theme="1"/>
      </right>
      <top style="hair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8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9" fontId="0" fillId="0" borderId="49" xfId="1" applyFont="1" applyBorder="1" applyAlignment="1">
      <alignment horizontal="center" vertical="center"/>
    </xf>
    <xf numFmtId="0" fontId="0" fillId="2" borderId="49" xfId="0" applyFill="1" applyBorder="1" applyAlignment="1">
      <alignment horizontal="center" vertical="center"/>
    </xf>
    <xf numFmtId="0" fontId="0" fillId="2" borderId="57" xfId="0" applyFill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3" borderId="61" xfId="0" applyFill="1" applyBorder="1" applyAlignment="1">
      <alignment horizontal="center" vertical="center"/>
    </xf>
    <xf numFmtId="0" fontId="0" fillId="3" borderId="57" xfId="0" applyFill="1" applyBorder="1" applyAlignment="1">
      <alignment horizontal="center" vertical="center"/>
    </xf>
    <xf numFmtId="49" fontId="0" fillId="3" borderId="22" xfId="0" applyNumberFormat="1" applyFill="1" applyBorder="1" applyAlignment="1">
      <alignment horizontal="center" vertical="center"/>
    </xf>
    <xf numFmtId="49" fontId="0" fillId="3" borderId="23" xfId="0" applyNumberForma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49" xfId="0" applyFont="1" applyFill="1" applyBorder="1" applyAlignment="1">
      <alignment horizontal="center" vertical="center"/>
    </xf>
    <xf numFmtId="0" fontId="4" fillId="2" borderId="5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0" fillId="4" borderId="55" xfId="0" applyFill="1" applyBorder="1" applyAlignment="1">
      <alignment horizontal="center" vertical="center"/>
    </xf>
    <xf numFmtId="0" fontId="0" fillId="4" borderId="56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2" borderId="55" xfId="0" applyFill="1" applyBorder="1" applyAlignment="1">
      <alignment horizontal="center" vertical="center"/>
    </xf>
    <xf numFmtId="0" fontId="0" fillId="2" borderId="56" xfId="0" applyFill="1" applyBorder="1" applyAlignment="1">
      <alignment horizontal="center" vertical="center"/>
    </xf>
    <xf numFmtId="9" fontId="0" fillId="2" borderId="56" xfId="1" applyFont="1" applyFill="1" applyBorder="1" applyAlignment="1">
      <alignment horizontal="center" vertical="center"/>
    </xf>
    <xf numFmtId="0" fontId="4" fillId="2" borderId="50" xfId="0" applyFont="1" applyFill="1" applyBorder="1" applyAlignment="1">
      <alignment horizontal="center" vertical="center" textRotation="255"/>
    </xf>
    <xf numFmtId="0" fontId="4" fillId="2" borderId="53" xfId="0" applyFont="1" applyFill="1" applyBorder="1" applyAlignment="1">
      <alignment horizontal="center" vertical="center" textRotation="255"/>
    </xf>
    <xf numFmtId="0" fontId="4" fillId="2" borderId="58" xfId="0" applyFont="1" applyFill="1" applyBorder="1" applyAlignment="1">
      <alignment horizontal="center" vertical="center" textRotation="255"/>
    </xf>
    <xf numFmtId="0" fontId="0" fillId="3" borderId="50" xfId="0" applyFill="1" applyBorder="1">
      <alignment vertical="center"/>
    </xf>
    <xf numFmtId="0" fontId="0" fillId="3" borderId="52" xfId="0" applyFill="1" applyBorder="1">
      <alignment vertical="center"/>
    </xf>
    <xf numFmtId="0" fontId="0" fillId="3" borderId="58" xfId="0" applyFill="1" applyBorder="1">
      <alignment vertical="center"/>
    </xf>
    <xf numFmtId="0" fontId="0" fillId="3" borderId="60" xfId="0" applyFill="1" applyBorder="1">
      <alignment vertical="center"/>
    </xf>
    <xf numFmtId="0" fontId="0" fillId="3" borderId="50" xfId="0" applyFill="1" applyBorder="1" applyAlignment="1">
      <alignment horizontal="left" vertical="center"/>
    </xf>
    <xf numFmtId="0" fontId="0" fillId="3" borderId="52" xfId="0" applyFill="1" applyBorder="1" applyAlignment="1">
      <alignment horizontal="left" vertical="center"/>
    </xf>
    <xf numFmtId="0" fontId="0" fillId="3" borderId="58" xfId="0" applyFill="1" applyBorder="1" applyAlignment="1">
      <alignment horizontal="left" vertical="center"/>
    </xf>
    <xf numFmtId="0" fontId="0" fillId="3" borderId="60" xfId="0" applyFill="1" applyBorder="1" applyAlignment="1">
      <alignment horizontal="left" vertical="center"/>
    </xf>
  </cellXfs>
  <cellStyles count="2">
    <cellStyle name="백분율" xfId="1" builtinId="5"/>
    <cellStyle name="표준" xfId="0" builtinId="0"/>
  </cellStyles>
  <dxfs count="5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mruColors>
      <color rgb="FF33CCFF"/>
      <color rgb="FFD9F1FF"/>
      <color rgb="FF6699FF"/>
      <color rgb="FFFF2F2F"/>
      <color rgb="FFCCECFF"/>
      <color rgb="FFE5E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4508;&#51456;&#54364;3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16&#44508;&#51456;&#54364;2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규준표3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16규준표2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FC5D6-5E1B-46E5-973C-6F311A3128B9}">
  <dimension ref="B1:X36"/>
  <sheetViews>
    <sheetView topLeftCell="M19" zoomScale="85" zoomScaleNormal="85" workbookViewId="0">
      <selection activeCell="W34" sqref="W34"/>
    </sheetView>
  </sheetViews>
  <sheetFormatPr defaultColWidth="8.8984375" defaultRowHeight="17.399999999999999" x14ac:dyDescent="0.4"/>
  <cols>
    <col min="1" max="16384" width="8.8984375" style="1"/>
  </cols>
  <sheetData>
    <row r="1" spans="2:24" ht="18" thickBot="1" x14ac:dyDescent="0.45"/>
    <row r="2" spans="2:24" ht="53.4" thickTop="1" x14ac:dyDescent="0.4">
      <c r="B2" s="66" t="s">
        <v>7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36"/>
    </row>
    <row r="3" spans="2:24" ht="18" thickBot="1" x14ac:dyDescent="0.45">
      <c r="B3" s="6"/>
      <c r="X3" s="7"/>
    </row>
    <row r="4" spans="2:24" ht="18" thickBot="1" x14ac:dyDescent="0.45">
      <c r="B4" s="6"/>
      <c r="C4" s="13" t="s">
        <v>4</v>
      </c>
      <c r="D4" s="3" t="s">
        <v>81</v>
      </c>
      <c r="E4" s="14" t="s">
        <v>5</v>
      </c>
      <c r="F4" s="3">
        <v>43</v>
      </c>
      <c r="G4" s="14" t="s">
        <v>6</v>
      </c>
      <c r="H4" s="2" t="s">
        <v>82</v>
      </c>
      <c r="X4" s="7"/>
    </row>
    <row r="5" spans="2:24" ht="18" thickBot="1" x14ac:dyDescent="0.45">
      <c r="B5" s="6"/>
      <c r="X5" s="7"/>
    </row>
    <row r="6" spans="2:24" x14ac:dyDescent="0.4">
      <c r="B6" s="6"/>
      <c r="C6" s="11" t="s">
        <v>2</v>
      </c>
      <c r="D6" s="15">
        <v>1</v>
      </c>
      <c r="E6" s="16">
        <v>2</v>
      </c>
      <c r="F6" s="16">
        <v>3</v>
      </c>
      <c r="G6" s="16">
        <v>4</v>
      </c>
      <c r="H6" s="16">
        <v>5</v>
      </c>
      <c r="I6" s="16">
        <v>6</v>
      </c>
      <c r="J6" s="16">
        <v>7</v>
      </c>
      <c r="K6" s="16">
        <v>8</v>
      </c>
      <c r="L6" s="16">
        <v>9</v>
      </c>
      <c r="M6" s="16">
        <v>10</v>
      </c>
      <c r="N6" s="16">
        <v>11</v>
      </c>
      <c r="O6" s="16">
        <v>12</v>
      </c>
      <c r="P6" s="16">
        <v>13</v>
      </c>
      <c r="Q6" s="16">
        <v>14</v>
      </c>
      <c r="R6" s="16">
        <v>15</v>
      </c>
      <c r="S6" s="16">
        <v>16</v>
      </c>
      <c r="T6" s="16">
        <v>17</v>
      </c>
      <c r="U6" s="16">
        <v>18</v>
      </c>
      <c r="V6" s="16">
        <v>19</v>
      </c>
      <c r="W6" s="17">
        <v>20</v>
      </c>
      <c r="X6" s="7"/>
    </row>
    <row r="7" spans="2:24" ht="18" thickBot="1" x14ac:dyDescent="0.45">
      <c r="B7" s="6"/>
      <c r="C7" s="12" t="s">
        <v>3</v>
      </c>
      <c r="D7" s="5">
        <v>3</v>
      </c>
      <c r="E7" s="5">
        <v>2</v>
      </c>
      <c r="F7" s="5">
        <v>4</v>
      </c>
      <c r="G7" s="5">
        <v>3</v>
      </c>
      <c r="H7" s="5">
        <v>2</v>
      </c>
      <c r="I7" s="5">
        <v>3</v>
      </c>
      <c r="J7" s="5">
        <v>3</v>
      </c>
      <c r="K7" s="5">
        <v>2</v>
      </c>
      <c r="L7" s="5">
        <v>2</v>
      </c>
      <c r="M7" s="5">
        <v>1</v>
      </c>
      <c r="N7" s="5">
        <v>4</v>
      </c>
      <c r="O7" s="5">
        <v>2</v>
      </c>
      <c r="P7" s="5">
        <v>2</v>
      </c>
      <c r="Q7" s="5">
        <v>1</v>
      </c>
      <c r="R7" s="5">
        <v>1</v>
      </c>
      <c r="S7" s="5">
        <v>1</v>
      </c>
      <c r="T7" s="5">
        <v>2</v>
      </c>
      <c r="U7" s="5">
        <v>5</v>
      </c>
      <c r="V7" s="5">
        <v>2</v>
      </c>
      <c r="W7" s="35">
        <v>4</v>
      </c>
      <c r="X7" s="7"/>
    </row>
    <row r="8" spans="2:24" ht="18" thickBot="1" x14ac:dyDescent="0.45">
      <c r="B8" s="6"/>
      <c r="X8" s="7"/>
    </row>
    <row r="9" spans="2:24" x14ac:dyDescent="0.4">
      <c r="B9" s="6"/>
      <c r="C9" s="11" t="s">
        <v>2</v>
      </c>
      <c r="D9" s="15">
        <v>21</v>
      </c>
      <c r="E9" s="16">
        <v>22</v>
      </c>
      <c r="F9" s="15">
        <v>23</v>
      </c>
      <c r="G9" s="16">
        <v>24</v>
      </c>
      <c r="H9" s="15">
        <v>25</v>
      </c>
      <c r="I9" s="16">
        <v>26</v>
      </c>
      <c r="J9" s="15">
        <v>27</v>
      </c>
      <c r="K9" s="16">
        <v>28</v>
      </c>
      <c r="L9" s="15">
        <v>29</v>
      </c>
      <c r="M9" s="16">
        <v>30</v>
      </c>
      <c r="N9" s="15">
        <v>31</v>
      </c>
      <c r="O9" s="16">
        <v>32</v>
      </c>
      <c r="P9" s="15">
        <v>33</v>
      </c>
      <c r="Q9" s="16">
        <v>34</v>
      </c>
      <c r="R9" s="15">
        <v>35</v>
      </c>
      <c r="S9" s="16">
        <v>36</v>
      </c>
      <c r="T9" s="15">
        <v>37</v>
      </c>
      <c r="U9" s="16">
        <v>38</v>
      </c>
      <c r="V9" s="15">
        <v>39</v>
      </c>
      <c r="W9" s="17">
        <v>40</v>
      </c>
      <c r="X9" s="7"/>
    </row>
    <row r="10" spans="2:24" ht="18" thickBot="1" x14ac:dyDescent="0.45">
      <c r="B10" s="6"/>
      <c r="C10" s="12" t="s">
        <v>3</v>
      </c>
      <c r="D10" s="5">
        <v>2</v>
      </c>
      <c r="E10" s="5">
        <v>3</v>
      </c>
      <c r="F10" s="5">
        <v>2</v>
      </c>
      <c r="G10" s="5">
        <v>5</v>
      </c>
      <c r="H10" s="5">
        <v>4</v>
      </c>
      <c r="I10" s="5">
        <v>2</v>
      </c>
      <c r="J10" s="5">
        <v>2</v>
      </c>
      <c r="K10" s="5">
        <v>3</v>
      </c>
      <c r="L10" s="5">
        <v>4</v>
      </c>
      <c r="M10" s="5">
        <v>4</v>
      </c>
      <c r="N10" s="5">
        <v>3</v>
      </c>
      <c r="O10" s="5">
        <v>4</v>
      </c>
      <c r="P10" s="5">
        <v>4</v>
      </c>
      <c r="Q10" s="5">
        <v>3</v>
      </c>
      <c r="R10" s="5">
        <v>2</v>
      </c>
      <c r="S10" s="5">
        <v>3</v>
      </c>
      <c r="T10" s="5">
        <v>3</v>
      </c>
      <c r="U10" s="5">
        <v>1</v>
      </c>
      <c r="V10" s="5">
        <v>2</v>
      </c>
      <c r="W10" s="35">
        <v>4</v>
      </c>
      <c r="X10" s="7"/>
    </row>
    <row r="11" spans="2:24" ht="18" thickBot="1" x14ac:dyDescent="0.45">
      <c r="B11" s="6"/>
      <c r="X11" s="7"/>
    </row>
    <row r="12" spans="2:24" x14ac:dyDescent="0.4">
      <c r="B12" s="6"/>
      <c r="C12" s="11" t="s">
        <v>2</v>
      </c>
      <c r="D12" s="15">
        <v>41</v>
      </c>
      <c r="E12" s="16">
        <v>42</v>
      </c>
      <c r="F12" s="15">
        <v>43</v>
      </c>
      <c r="G12" s="16">
        <v>44</v>
      </c>
      <c r="H12" s="15">
        <v>45</v>
      </c>
      <c r="I12" s="16">
        <v>46</v>
      </c>
      <c r="J12" s="15">
        <v>47</v>
      </c>
      <c r="K12" s="16">
        <v>48</v>
      </c>
      <c r="L12" s="15">
        <v>49</v>
      </c>
      <c r="M12" s="16">
        <v>50</v>
      </c>
      <c r="N12" s="15">
        <v>51</v>
      </c>
      <c r="O12" s="16">
        <v>52</v>
      </c>
      <c r="P12" s="15">
        <v>53</v>
      </c>
      <c r="Q12" s="16">
        <v>54</v>
      </c>
      <c r="R12" s="15">
        <v>55</v>
      </c>
      <c r="S12" s="16">
        <v>56</v>
      </c>
      <c r="T12" s="15">
        <v>57</v>
      </c>
      <c r="U12" s="16">
        <v>58</v>
      </c>
      <c r="V12" s="15">
        <v>59</v>
      </c>
      <c r="W12" s="17">
        <v>60</v>
      </c>
      <c r="X12" s="7"/>
    </row>
    <row r="13" spans="2:24" ht="18" thickBot="1" x14ac:dyDescent="0.45">
      <c r="B13" s="6"/>
      <c r="C13" s="12" t="s">
        <v>3</v>
      </c>
      <c r="D13" s="5">
        <v>4</v>
      </c>
      <c r="E13" s="5">
        <v>1</v>
      </c>
      <c r="F13" s="5">
        <v>2</v>
      </c>
      <c r="G13" s="5">
        <v>4</v>
      </c>
      <c r="H13" s="5">
        <v>1</v>
      </c>
      <c r="I13" s="5">
        <v>1</v>
      </c>
      <c r="J13" s="5">
        <v>3</v>
      </c>
      <c r="K13" s="5">
        <v>3</v>
      </c>
      <c r="L13" s="5">
        <v>2</v>
      </c>
      <c r="M13" s="5">
        <v>3</v>
      </c>
      <c r="N13" s="5">
        <v>2</v>
      </c>
      <c r="O13" s="5">
        <v>2</v>
      </c>
      <c r="P13" s="5">
        <v>1</v>
      </c>
      <c r="Q13" s="5">
        <v>2</v>
      </c>
      <c r="R13" s="5">
        <v>2</v>
      </c>
      <c r="S13" s="5">
        <v>1</v>
      </c>
      <c r="T13" s="5">
        <v>3</v>
      </c>
      <c r="U13" s="5">
        <v>2</v>
      </c>
      <c r="V13" s="5">
        <v>2</v>
      </c>
      <c r="W13" s="35">
        <v>4</v>
      </c>
      <c r="X13" s="7"/>
    </row>
    <row r="14" spans="2:24" ht="18" thickBot="1" x14ac:dyDescent="0.45">
      <c r="B14" s="6"/>
      <c r="X14" s="7"/>
    </row>
    <row r="15" spans="2:24" x14ac:dyDescent="0.4">
      <c r="B15" s="6"/>
      <c r="C15" s="11" t="s">
        <v>2</v>
      </c>
      <c r="D15" s="15">
        <v>61</v>
      </c>
      <c r="E15" s="16">
        <v>62</v>
      </c>
      <c r="F15" s="15">
        <v>63</v>
      </c>
      <c r="G15" s="16">
        <v>64</v>
      </c>
      <c r="H15" s="15">
        <v>65</v>
      </c>
      <c r="I15" s="16">
        <v>66</v>
      </c>
      <c r="J15" s="15">
        <v>67</v>
      </c>
      <c r="K15" s="16">
        <v>68</v>
      </c>
      <c r="L15" s="15">
        <v>69</v>
      </c>
      <c r="M15" s="16">
        <v>70</v>
      </c>
      <c r="N15" s="15">
        <v>71</v>
      </c>
      <c r="O15" s="16">
        <v>72</v>
      </c>
      <c r="P15" s="15">
        <v>73</v>
      </c>
      <c r="Q15" s="16">
        <v>74</v>
      </c>
      <c r="R15" s="15">
        <v>75</v>
      </c>
      <c r="S15" s="16">
        <v>76</v>
      </c>
      <c r="T15" s="15">
        <v>77</v>
      </c>
      <c r="U15" s="16">
        <v>78</v>
      </c>
      <c r="V15" s="15">
        <v>79</v>
      </c>
      <c r="W15" s="17">
        <v>80</v>
      </c>
      <c r="X15" s="7"/>
    </row>
    <row r="16" spans="2:24" ht="18" thickBot="1" x14ac:dyDescent="0.45">
      <c r="B16" s="6"/>
      <c r="C16" s="12" t="s">
        <v>3</v>
      </c>
      <c r="D16" s="5">
        <v>4</v>
      </c>
      <c r="E16" s="5">
        <v>3</v>
      </c>
      <c r="F16" s="5">
        <v>2</v>
      </c>
      <c r="G16" s="5">
        <v>3</v>
      </c>
      <c r="H16" s="5">
        <v>2</v>
      </c>
      <c r="I16" s="5">
        <v>4</v>
      </c>
      <c r="J16" s="5">
        <v>1</v>
      </c>
      <c r="K16" s="5">
        <v>3</v>
      </c>
      <c r="L16" s="5">
        <v>4</v>
      </c>
      <c r="M16" s="5">
        <v>1</v>
      </c>
      <c r="N16" s="5">
        <v>3</v>
      </c>
      <c r="O16" s="5">
        <v>2</v>
      </c>
      <c r="P16" s="5">
        <v>1</v>
      </c>
      <c r="Q16" s="5">
        <v>2</v>
      </c>
      <c r="R16" s="5">
        <v>2</v>
      </c>
      <c r="S16" s="5">
        <v>1</v>
      </c>
      <c r="T16" s="5">
        <v>3</v>
      </c>
      <c r="U16" s="5">
        <v>2</v>
      </c>
      <c r="V16" s="5">
        <v>4</v>
      </c>
      <c r="W16" s="4">
        <v>5</v>
      </c>
      <c r="X16" s="7"/>
    </row>
    <row r="17" spans="2:24" ht="18" thickBot="1" x14ac:dyDescent="0.45">
      <c r="B17" s="6"/>
      <c r="X17" s="7"/>
    </row>
    <row r="18" spans="2:24" x14ac:dyDescent="0.4">
      <c r="B18" s="6"/>
      <c r="C18" s="11" t="s">
        <v>2</v>
      </c>
      <c r="D18" s="15">
        <v>81</v>
      </c>
      <c r="E18" s="16">
        <v>82</v>
      </c>
      <c r="F18" s="15">
        <v>83</v>
      </c>
      <c r="G18" s="16">
        <v>84</v>
      </c>
      <c r="H18" s="15">
        <v>85</v>
      </c>
      <c r="I18" s="16">
        <v>86</v>
      </c>
      <c r="J18" s="15">
        <v>87</v>
      </c>
      <c r="K18" s="16">
        <v>88</v>
      </c>
      <c r="L18" s="15">
        <v>89</v>
      </c>
      <c r="M18" s="16">
        <v>90</v>
      </c>
      <c r="N18" s="15">
        <v>91</v>
      </c>
      <c r="O18" s="16">
        <v>92</v>
      </c>
      <c r="P18" s="15">
        <v>93</v>
      </c>
      <c r="Q18" s="16">
        <v>94</v>
      </c>
      <c r="R18" s="15">
        <v>95</v>
      </c>
      <c r="S18" s="16">
        <v>96</v>
      </c>
      <c r="T18" s="15">
        <v>97</v>
      </c>
      <c r="U18" s="16">
        <v>98</v>
      </c>
      <c r="V18" s="15">
        <v>99</v>
      </c>
      <c r="W18" s="17">
        <v>100</v>
      </c>
      <c r="X18" s="7"/>
    </row>
    <row r="19" spans="2:24" ht="18" thickBot="1" x14ac:dyDescent="0.45">
      <c r="B19" s="6"/>
      <c r="C19" s="12" t="s">
        <v>3</v>
      </c>
      <c r="D19" s="5">
        <v>1</v>
      </c>
      <c r="E19" s="5">
        <v>1</v>
      </c>
      <c r="F19" s="5">
        <v>3</v>
      </c>
      <c r="G19" s="5">
        <v>2</v>
      </c>
      <c r="H19" s="5">
        <v>2</v>
      </c>
      <c r="I19" s="5">
        <v>1</v>
      </c>
      <c r="J19" s="5">
        <v>1</v>
      </c>
      <c r="K19" s="5">
        <v>3</v>
      </c>
      <c r="L19" s="5">
        <v>2</v>
      </c>
      <c r="M19" s="5">
        <v>3</v>
      </c>
      <c r="N19" s="5">
        <v>2</v>
      </c>
      <c r="O19" s="5">
        <v>1</v>
      </c>
      <c r="P19" s="5">
        <v>2</v>
      </c>
      <c r="Q19" s="5">
        <v>2</v>
      </c>
      <c r="R19" s="5">
        <v>2</v>
      </c>
      <c r="S19" s="5">
        <v>1</v>
      </c>
      <c r="T19" s="5">
        <v>2</v>
      </c>
      <c r="U19" s="5">
        <v>1</v>
      </c>
      <c r="V19" s="5">
        <v>3</v>
      </c>
      <c r="W19" s="35">
        <v>2</v>
      </c>
      <c r="X19" s="7"/>
    </row>
    <row r="20" spans="2:24" ht="18" thickBot="1" x14ac:dyDescent="0.45">
      <c r="B20" s="6"/>
      <c r="X20" s="7"/>
    </row>
    <row r="21" spans="2:24" x14ac:dyDescent="0.4">
      <c r="B21" s="6"/>
      <c r="C21" s="11" t="s">
        <v>2</v>
      </c>
      <c r="D21" s="15">
        <v>101</v>
      </c>
      <c r="E21" s="16">
        <v>102</v>
      </c>
      <c r="F21" s="15">
        <v>103</v>
      </c>
      <c r="G21" s="16">
        <v>104</v>
      </c>
      <c r="H21" s="15">
        <v>105</v>
      </c>
      <c r="I21" s="16">
        <v>106</v>
      </c>
      <c r="J21" s="15">
        <v>107</v>
      </c>
      <c r="K21" s="16">
        <v>108</v>
      </c>
      <c r="L21" s="15">
        <v>109</v>
      </c>
      <c r="M21" s="16">
        <v>110</v>
      </c>
      <c r="N21" s="15">
        <v>111</v>
      </c>
      <c r="O21" s="16">
        <v>112</v>
      </c>
      <c r="P21" s="15">
        <v>113</v>
      </c>
      <c r="Q21" s="16">
        <v>114</v>
      </c>
      <c r="R21" s="15">
        <v>115</v>
      </c>
      <c r="S21" s="16">
        <v>116</v>
      </c>
      <c r="T21" s="15">
        <v>117</v>
      </c>
      <c r="U21" s="16">
        <v>118</v>
      </c>
      <c r="V21" s="15">
        <v>119</v>
      </c>
      <c r="W21" s="17">
        <v>120</v>
      </c>
      <c r="X21" s="7"/>
    </row>
    <row r="22" spans="2:24" ht="18" thickBot="1" x14ac:dyDescent="0.45">
      <c r="B22" s="6"/>
      <c r="C22" s="12" t="s">
        <v>3</v>
      </c>
      <c r="D22" s="5">
        <v>1</v>
      </c>
      <c r="E22" s="5">
        <v>3</v>
      </c>
      <c r="F22" s="5">
        <v>2</v>
      </c>
      <c r="G22" s="5">
        <v>2</v>
      </c>
      <c r="H22" s="5">
        <v>3</v>
      </c>
      <c r="I22" s="5">
        <v>2</v>
      </c>
      <c r="J22" s="5">
        <v>1</v>
      </c>
      <c r="K22" s="5">
        <v>2</v>
      </c>
      <c r="L22" s="5">
        <v>4</v>
      </c>
      <c r="M22" s="5">
        <v>4</v>
      </c>
      <c r="N22" s="5">
        <v>3</v>
      </c>
      <c r="O22" s="5">
        <v>2</v>
      </c>
      <c r="P22" s="5">
        <v>1</v>
      </c>
      <c r="Q22" s="5">
        <v>1</v>
      </c>
      <c r="R22" s="5">
        <v>1</v>
      </c>
      <c r="S22" s="5">
        <v>2</v>
      </c>
      <c r="T22" s="5">
        <v>3</v>
      </c>
      <c r="U22" s="5">
        <v>3</v>
      </c>
      <c r="V22" s="5">
        <v>2</v>
      </c>
      <c r="W22" s="35">
        <v>2</v>
      </c>
      <c r="X22" s="7"/>
    </row>
    <row r="23" spans="2:24" ht="18" thickBot="1" x14ac:dyDescent="0.45">
      <c r="B23" s="6"/>
      <c r="X23" s="7"/>
    </row>
    <row r="24" spans="2:24" x14ac:dyDescent="0.4">
      <c r="B24" s="6"/>
      <c r="C24" s="11" t="s">
        <v>2</v>
      </c>
      <c r="D24" s="15">
        <v>121</v>
      </c>
      <c r="E24" s="16">
        <v>122</v>
      </c>
      <c r="F24" s="15">
        <v>123</v>
      </c>
      <c r="G24" s="16">
        <v>124</v>
      </c>
      <c r="H24" s="15">
        <v>125</v>
      </c>
      <c r="I24" s="16">
        <v>126</v>
      </c>
      <c r="J24" s="15">
        <v>127</v>
      </c>
      <c r="K24" s="16">
        <v>128</v>
      </c>
      <c r="L24" s="15">
        <v>129</v>
      </c>
      <c r="M24" s="16">
        <v>130</v>
      </c>
      <c r="N24" s="15">
        <v>131</v>
      </c>
      <c r="O24" s="16">
        <v>132</v>
      </c>
      <c r="P24" s="15">
        <v>133</v>
      </c>
      <c r="Q24" s="16">
        <v>134</v>
      </c>
      <c r="R24" s="15">
        <v>135</v>
      </c>
      <c r="S24" s="16">
        <v>136</v>
      </c>
      <c r="T24" s="15">
        <v>137</v>
      </c>
      <c r="U24" s="16">
        <v>138</v>
      </c>
      <c r="V24" s="15">
        <v>139</v>
      </c>
      <c r="W24" s="17">
        <v>140</v>
      </c>
      <c r="X24" s="7"/>
    </row>
    <row r="25" spans="2:24" ht="18" thickBot="1" x14ac:dyDescent="0.45">
      <c r="B25" s="6"/>
      <c r="C25" s="12" t="s">
        <v>3</v>
      </c>
      <c r="D25" s="5">
        <v>2</v>
      </c>
      <c r="E25" s="5">
        <v>4</v>
      </c>
      <c r="F25" s="5">
        <v>2</v>
      </c>
      <c r="G25" s="5">
        <v>1</v>
      </c>
      <c r="H25" s="5">
        <v>3</v>
      </c>
      <c r="I25" s="5">
        <v>1</v>
      </c>
      <c r="J25" s="5">
        <v>1</v>
      </c>
      <c r="K25" s="5">
        <v>1</v>
      </c>
      <c r="L25" s="5">
        <v>2</v>
      </c>
      <c r="M25" s="5">
        <v>2</v>
      </c>
      <c r="N25" s="5">
        <v>4</v>
      </c>
      <c r="O25" s="5">
        <v>2</v>
      </c>
      <c r="P25" s="5">
        <v>1</v>
      </c>
      <c r="Q25" s="5">
        <v>1</v>
      </c>
      <c r="R25" s="5">
        <v>5</v>
      </c>
      <c r="S25" s="5">
        <v>1</v>
      </c>
      <c r="T25" s="5">
        <v>4</v>
      </c>
      <c r="U25" s="5">
        <v>1</v>
      </c>
      <c r="V25" s="5">
        <v>3</v>
      </c>
      <c r="W25" s="35">
        <v>4</v>
      </c>
      <c r="X25" s="7"/>
    </row>
    <row r="26" spans="2:24" ht="18" thickBot="1" x14ac:dyDescent="0.45">
      <c r="B26" s="6"/>
      <c r="X26" s="7"/>
    </row>
    <row r="27" spans="2:24" x14ac:dyDescent="0.4">
      <c r="B27" s="6"/>
      <c r="C27" s="11" t="s">
        <v>2</v>
      </c>
      <c r="D27" s="15">
        <v>141</v>
      </c>
      <c r="E27" s="16">
        <v>142</v>
      </c>
      <c r="F27" s="15">
        <v>143</v>
      </c>
      <c r="G27" s="16">
        <v>144</v>
      </c>
      <c r="H27" s="15">
        <v>145</v>
      </c>
      <c r="I27" s="16">
        <v>146</v>
      </c>
      <c r="J27" s="15">
        <v>147</v>
      </c>
      <c r="K27" s="16">
        <v>148</v>
      </c>
      <c r="L27" s="15">
        <v>149</v>
      </c>
      <c r="M27" s="16">
        <v>150</v>
      </c>
      <c r="N27" s="15">
        <v>151</v>
      </c>
      <c r="O27" s="16">
        <v>152</v>
      </c>
      <c r="P27" s="15">
        <v>153</v>
      </c>
      <c r="Q27" s="16">
        <v>154</v>
      </c>
      <c r="R27" s="15">
        <v>155</v>
      </c>
      <c r="S27" s="16">
        <v>156</v>
      </c>
      <c r="T27" s="15">
        <v>157</v>
      </c>
      <c r="U27" s="16">
        <v>158</v>
      </c>
      <c r="V27" s="15">
        <v>159</v>
      </c>
      <c r="W27" s="17">
        <v>160</v>
      </c>
      <c r="X27" s="7"/>
    </row>
    <row r="28" spans="2:24" ht="18" thickBot="1" x14ac:dyDescent="0.45">
      <c r="B28" s="6"/>
      <c r="C28" s="12" t="s">
        <v>3</v>
      </c>
      <c r="D28" s="5">
        <v>1</v>
      </c>
      <c r="E28" s="5">
        <v>3</v>
      </c>
      <c r="F28" s="5">
        <v>1</v>
      </c>
      <c r="G28" s="5">
        <v>1</v>
      </c>
      <c r="H28" s="5">
        <v>2</v>
      </c>
      <c r="I28" s="5">
        <v>1</v>
      </c>
      <c r="J28" s="5">
        <v>1</v>
      </c>
      <c r="K28" s="5">
        <v>3</v>
      </c>
      <c r="L28" s="5">
        <v>2</v>
      </c>
      <c r="M28" s="5">
        <v>2</v>
      </c>
      <c r="N28" s="5">
        <v>2</v>
      </c>
      <c r="O28" s="5">
        <v>1</v>
      </c>
      <c r="P28" s="5">
        <v>1</v>
      </c>
      <c r="Q28" s="5">
        <v>1</v>
      </c>
      <c r="R28" s="5">
        <v>2</v>
      </c>
      <c r="S28" s="5">
        <v>1</v>
      </c>
      <c r="T28" s="5">
        <v>1</v>
      </c>
      <c r="U28" s="5">
        <v>2</v>
      </c>
      <c r="V28" s="5">
        <v>1</v>
      </c>
      <c r="W28" s="35">
        <v>3</v>
      </c>
      <c r="X28" s="7"/>
    </row>
    <row r="29" spans="2:24" ht="18" thickBot="1" x14ac:dyDescent="0.45">
      <c r="B29" s="6"/>
      <c r="X29" s="7"/>
    </row>
    <row r="30" spans="2:24" x14ac:dyDescent="0.4">
      <c r="B30" s="6"/>
      <c r="C30" s="11" t="s">
        <v>2</v>
      </c>
      <c r="D30" s="15">
        <v>161</v>
      </c>
      <c r="E30" s="16">
        <v>162</v>
      </c>
      <c r="F30" s="15">
        <v>163</v>
      </c>
      <c r="G30" s="16">
        <v>164</v>
      </c>
      <c r="H30" s="15">
        <v>165</v>
      </c>
      <c r="I30" s="16">
        <v>166</v>
      </c>
      <c r="J30" s="15">
        <v>167</v>
      </c>
      <c r="K30" s="16">
        <v>168</v>
      </c>
      <c r="L30" s="15">
        <v>169</v>
      </c>
      <c r="M30" s="16">
        <v>170</v>
      </c>
      <c r="N30" s="15">
        <v>171</v>
      </c>
      <c r="O30" s="16">
        <v>172</v>
      </c>
      <c r="P30" s="15">
        <v>173</v>
      </c>
      <c r="Q30" s="16">
        <v>174</v>
      </c>
      <c r="R30" s="15">
        <v>175</v>
      </c>
      <c r="S30" s="16">
        <v>176</v>
      </c>
      <c r="T30" s="15">
        <v>177</v>
      </c>
      <c r="U30" s="16">
        <v>178</v>
      </c>
      <c r="V30" s="15">
        <v>179</v>
      </c>
      <c r="W30" s="17">
        <v>180</v>
      </c>
      <c r="X30" s="7"/>
    </row>
    <row r="31" spans="2:24" ht="18" thickBot="1" x14ac:dyDescent="0.45">
      <c r="B31" s="6"/>
      <c r="C31" s="12" t="s">
        <v>3</v>
      </c>
      <c r="D31" s="5">
        <v>3</v>
      </c>
      <c r="E31" s="5">
        <v>2</v>
      </c>
      <c r="F31" s="5">
        <v>4</v>
      </c>
      <c r="G31" s="5">
        <v>3</v>
      </c>
      <c r="H31" s="5">
        <v>1</v>
      </c>
      <c r="I31" s="5">
        <v>4</v>
      </c>
      <c r="J31" s="5">
        <v>2</v>
      </c>
      <c r="K31" s="5">
        <v>2</v>
      </c>
      <c r="L31" s="5">
        <v>3</v>
      </c>
      <c r="M31" s="5">
        <v>1</v>
      </c>
      <c r="N31" s="5">
        <v>2</v>
      </c>
      <c r="O31" s="5">
        <v>1</v>
      </c>
      <c r="P31" s="5">
        <v>2</v>
      </c>
      <c r="Q31" s="5">
        <v>1</v>
      </c>
      <c r="R31" s="5">
        <v>1</v>
      </c>
      <c r="S31" s="5">
        <v>4</v>
      </c>
      <c r="T31" s="5">
        <v>3</v>
      </c>
      <c r="U31" s="5">
        <v>1</v>
      </c>
      <c r="V31" s="5">
        <v>4</v>
      </c>
      <c r="W31" s="35">
        <v>3</v>
      </c>
      <c r="X31" s="7"/>
    </row>
    <row r="32" spans="2:24" ht="18" thickBot="1" x14ac:dyDescent="0.45">
      <c r="B32" s="6"/>
      <c r="X32" s="7"/>
    </row>
    <row r="33" spans="2:24" x14ac:dyDescent="0.4">
      <c r="B33" s="6"/>
      <c r="C33" s="11" t="s">
        <v>2</v>
      </c>
      <c r="D33" s="15" t="s">
        <v>30</v>
      </c>
      <c r="E33" s="16">
        <v>182</v>
      </c>
      <c r="F33" s="15">
        <v>183</v>
      </c>
      <c r="G33" s="16">
        <v>184</v>
      </c>
      <c r="H33" s="15">
        <v>185</v>
      </c>
      <c r="I33" s="16">
        <v>186</v>
      </c>
      <c r="J33" s="15">
        <v>187</v>
      </c>
      <c r="K33" s="16">
        <v>188</v>
      </c>
      <c r="L33" s="15">
        <v>189</v>
      </c>
      <c r="M33" s="16">
        <v>190</v>
      </c>
      <c r="N33" s="15">
        <v>191</v>
      </c>
      <c r="O33" s="16">
        <v>192</v>
      </c>
      <c r="P33" s="15">
        <v>193</v>
      </c>
      <c r="Q33" s="16">
        <v>194</v>
      </c>
      <c r="R33" s="15">
        <v>195</v>
      </c>
      <c r="S33" s="16">
        <v>196</v>
      </c>
      <c r="T33" s="15">
        <v>197</v>
      </c>
      <c r="U33" s="16">
        <v>198</v>
      </c>
      <c r="V33" s="15">
        <v>199</v>
      </c>
      <c r="W33" s="17">
        <v>200</v>
      </c>
      <c r="X33" s="7"/>
    </row>
    <row r="34" spans="2:24" ht="18" thickBot="1" x14ac:dyDescent="0.45">
      <c r="B34" s="6"/>
      <c r="C34" s="12" t="s">
        <v>3</v>
      </c>
      <c r="D34" s="5">
        <v>2</v>
      </c>
      <c r="E34" s="5">
        <v>1</v>
      </c>
      <c r="F34" s="5">
        <v>2</v>
      </c>
      <c r="G34" s="5">
        <v>1</v>
      </c>
      <c r="H34" s="5">
        <v>2</v>
      </c>
      <c r="I34" s="5">
        <v>1</v>
      </c>
      <c r="J34" s="5">
        <v>1</v>
      </c>
      <c r="K34" s="5">
        <v>1</v>
      </c>
      <c r="L34" s="5">
        <v>3</v>
      </c>
      <c r="M34" s="5">
        <v>2</v>
      </c>
      <c r="N34" s="5">
        <v>1</v>
      </c>
      <c r="O34" s="5">
        <v>1</v>
      </c>
      <c r="P34" s="5">
        <v>2</v>
      </c>
      <c r="Q34" s="5">
        <v>1</v>
      </c>
      <c r="R34" s="5">
        <v>1</v>
      </c>
      <c r="S34" s="5">
        <v>1</v>
      </c>
      <c r="T34" s="5">
        <v>3</v>
      </c>
      <c r="U34" s="5">
        <v>4</v>
      </c>
      <c r="V34" s="5">
        <v>1</v>
      </c>
      <c r="W34" s="4">
        <v>5</v>
      </c>
      <c r="X34" s="7"/>
    </row>
    <row r="35" spans="2:24" ht="18" thickBot="1" x14ac:dyDescent="0.45">
      <c r="B35" s="8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10"/>
    </row>
    <row r="36" spans="2:24" ht="18" thickTop="1" x14ac:dyDescent="0.4"/>
  </sheetData>
  <mergeCells count="1">
    <mergeCell ref="B2:W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C3F67-0580-4D6E-BB4A-4C643DC48383}">
  <dimension ref="A1:W39"/>
  <sheetViews>
    <sheetView tabSelected="1" zoomScale="85" zoomScaleNormal="85" workbookViewId="0">
      <selection activeCell="C2" sqref="C2"/>
    </sheetView>
  </sheetViews>
  <sheetFormatPr defaultColWidth="8.8984375" defaultRowHeight="17.399999999999999" x14ac:dyDescent="0.4"/>
  <cols>
    <col min="1" max="1" width="8.8984375" style="1"/>
    <col min="2" max="22" width="9.796875" style="1" customWidth="1"/>
    <col min="23" max="16384" width="8.8984375" style="1"/>
  </cols>
  <sheetData>
    <row r="1" spans="1:23" x14ac:dyDescent="0.4">
      <c r="A1" s="37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9"/>
    </row>
    <row r="2" spans="1:23" x14ac:dyDescent="0.4">
      <c r="A2" s="40"/>
      <c r="B2" s="52" t="s">
        <v>5</v>
      </c>
      <c r="C2" s="45">
        <f>응답지_1!F4</f>
        <v>43</v>
      </c>
      <c r="D2" s="52" t="s">
        <v>31</v>
      </c>
      <c r="E2" s="45">
        <f>IF(C2&gt;=50,4,IF(C2&gt;=40,3,IF(C2&gt;=30,2,IF(C2&gt;=15,1))))</f>
        <v>3</v>
      </c>
      <c r="F2" s="52" t="s">
        <v>36</v>
      </c>
      <c r="G2" s="45">
        <f>10*E2+E3</f>
        <v>32</v>
      </c>
      <c r="W2" s="41"/>
    </row>
    <row r="3" spans="1:23" x14ac:dyDescent="0.4">
      <c r="A3" s="40"/>
      <c r="B3" s="53" t="s">
        <v>6</v>
      </c>
      <c r="C3" s="1" t="str">
        <f>응답지_1!H4</f>
        <v>여</v>
      </c>
      <c r="D3" s="52" t="s">
        <v>32</v>
      </c>
      <c r="E3" s="45">
        <f>IF(C3="남",1,IF(C3="여",2))</f>
        <v>2</v>
      </c>
      <c r="G3" s="50"/>
      <c r="W3" s="41"/>
    </row>
    <row r="4" spans="1:23" x14ac:dyDescent="0.4">
      <c r="A4" s="40"/>
      <c r="B4" s="71" t="s">
        <v>29</v>
      </c>
      <c r="C4" s="72"/>
      <c r="D4" s="45">
        <f>COUNTBLANK(응답지_1!C6:W34)-189</f>
        <v>0</v>
      </c>
      <c r="E4" s="73" t="s">
        <v>37</v>
      </c>
      <c r="F4" s="73"/>
      <c r="G4" s="51">
        <f>D4/200</f>
        <v>0</v>
      </c>
      <c r="W4" s="41"/>
    </row>
    <row r="5" spans="1:23" x14ac:dyDescent="0.4">
      <c r="A5" s="40"/>
      <c r="W5" s="41"/>
    </row>
    <row r="6" spans="1:23" x14ac:dyDescent="0.4">
      <c r="A6" s="40"/>
      <c r="B6" s="63" t="s">
        <v>0</v>
      </c>
      <c r="C6" s="64" t="s">
        <v>8</v>
      </c>
      <c r="D6" s="64" t="s">
        <v>10</v>
      </c>
      <c r="E6" s="64" t="s">
        <v>11</v>
      </c>
      <c r="F6" s="64" t="s">
        <v>44</v>
      </c>
      <c r="G6" s="64" t="s">
        <v>13</v>
      </c>
      <c r="H6" s="64" t="s">
        <v>14</v>
      </c>
      <c r="I6" s="64" t="s">
        <v>15</v>
      </c>
      <c r="J6" s="64" t="s">
        <v>16</v>
      </c>
      <c r="K6" s="64" t="s">
        <v>17</v>
      </c>
      <c r="L6" s="64" t="s">
        <v>18</v>
      </c>
      <c r="M6" s="64" t="s">
        <v>19</v>
      </c>
      <c r="N6" s="64" t="s">
        <v>20</v>
      </c>
      <c r="O6" s="64" t="s">
        <v>21</v>
      </c>
      <c r="P6" s="64" t="s">
        <v>22</v>
      </c>
      <c r="Q6" s="64" t="s">
        <v>23</v>
      </c>
      <c r="R6" s="64" t="s">
        <v>24</v>
      </c>
      <c r="S6" s="64" t="s">
        <v>25</v>
      </c>
      <c r="T6" s="64" t="s">
        <v>26</v>
      </c>
      <c r="U6" s="64" t="s">
        <v>27</v>
      </c>
      <c r="V6" s="65" t="s">
        <v>28</v>
      </c>
      <c r="W6" s="41"/>
    </row>
    <row r="7" spans="1:23" x14ac:dyDescent="0.4">
      <c r="A7" s="40"/>
      <c r="B7" s="57" t="s">
        <v>1</v>
      </c>
      <c r="C7" s="1">
        <f>SUM(6-응답지_1!D34,응답지_1!D31,응답지_1!D28,응답지_1!D25,응답지_1!D22,응답지_1!D19,응답지_1!D16,응답지_1!D13,응답지_1!D10,응답지_1!D7)</f>
        <v>25</v>
      </c>
      <c r="D7" s="1">
        <f>SUM(응답지_1!E7,응답지_1!E10,응답지_1!E13,응답지_1!E16,응답지_1!E19,응답지_1!E22,응답지_1!E25,응답지_1!E28,응답지_1!E31,응답지_1!E34)</f>
        <v>23</v>
      </c>
      <c r="E7" s="1">
        <f>SUM(응답지_1!F7,응답지_1!F10,응답지_1!F13,응답지_1!F16,응답지_1!F19,응답지_1!F22,응답지_1!F25,응답지_1!F28,응답지_1!F31,응답지_1!F34)</f>
        <v>24</v>
      </c>
      <c r="F7" s="1">
        <f>SUM(응답지_1!G7,응답지_1!G10,응답지_1!G13,응답지_1!G16,응답지_1!G19,응답지_1!G22,응답지_1!G25,응답지_1!G28,응답지_1!G31,응답지_1!G34)</f>
        <v>25</v>
      </c>
      <c r="G7" s="1">
        <f>SUM(응답지_1!H7,응답지_1!H10,응답지_1!H13,응답지_1!H16,응답지_1!H19,응답지_1!H22,응답지_1!H25,응답지_1!H28,응답지_1!H31,응답지_1!H34)</f>
        <v>22</v>
      </c>
      <c r="H7" s="1">
        <f>SUM(응답지_1!I7,응답지_1!I10,응답지_1!I13,응답지_1!I16,응답지_1!I19,응답지_1!I22,응답지_1!I25,응답지_1!I28,응답지_1!I31,응답지_1!I34)</f>
        <v>20</v>
      </c>
      <c r="I7" s="1">
        <f>SUM(응답지_1!J7,응답지_1!J10,응답지_1!J13,응답지_1!J16,응답지_1!J19,응답지_1!J22,응답지_1!J25,응답지_1!J28,응답지_1!J31,응답지_1!J34)</f>
        <v>16</v>
      </c>
      <c r="J7" s="1">
        <f>SUM(응답지_1!K7,응답지_1!K10,응답지_1!K13,응답지_1!K16,응답지_1!K19,응답지_1!K22,응답지_1!K25,응답지_1!K28,응답지_1!K31,응답지_1!K34)</f>
        <v>23</v>
      </c>
      <c r="K7" s="1">
        <f>SUM(응답지_1!L7,응답지_1!L10,응답지_1!L13,응답지_1!L16,응답지_1!L19,응답지_1!L22,응답지_1!L25,응답지_1!L28,응답지_1!L31,응답지_1!L34)</f>
        <v>28</v>
      </c>
      <c r="L7" s="1">
        <f>SUM(응답지_1!M7,응답지_1!M10,응답지_1!M13,응답지_1!M16,응답지_1!M19,응답지_1!M22,응답지_1!M25,응답지_1!M28,응답지_1!M31,응답지_1!M34)</f>
        <v>23</v>
      </c>
      <c r="M7" s="1">
        <f>SUM(응답지_1!N7,응답지_1!N10,응답지_1!N13,응답지_1!N16,응답지_1!N19,응답지_1!N22,응답지_1!N25,응답지_1!N28,응답지_1!N31,응답지_1!N34)</f>
        <v>26</v>
      </c>
      <c r="N7" s="1">
        <f>SUM(응답지_1!O7,응답지_1!O10,응답지_1!O13,응답지_1!O16,응답지_1!O19,응답지_1!O22,응답지_1!O25,응답지_1!O28,응답지_1!O31,응답지_1!O34)</f>
        <v>18</v>
      </c>
      <c r="O7" s="1">
        <f>SUM(응답지_1!P7,응답지_1!P10,응답지_1!P13,응답지_1!P16,응답지_1!P19,응답지_1!P22,응답지_1!P25,응답지_1!P28,응답지_1!P31,응답지_1!P34)</f>
        <v>17</v>
      </c>
      <c r="P7" s="1">
        <f>SUM(응답지_1!Q7,응답지_1!Q10,응답지_1!Q13,응답지_1!Q16,응답지_1!Q19,응답지_1!Q22,응답지_1!Q25,응답지_1!Q28,응답지_1!Q31,응답지_1!Q34)</f>
        <v>15</v>
      </c>
      <c r="Q7" s="1">
        <f>SUM(응답지_1!R7,응답지_1!R10,응답지_1!R13,응답지_1!R16,응답지_1!R19,응답지_1!R22,응답지_1!R25,응답지_1!R28,응답지_1!R31,응답지_1!R34)</f>
        <v>19</v>
      </c>
      <c r="R7" s="1">
        <f>SUM(응답지_1!S7,응답지_1!S10,응답지_1!S13,응답지_1!S16,응답지_1!S19,응답지_1!S22,응답지_1!S25,응답지_1!S28,응답지_1!S31,응답지_1!S34)</f>
        <v>16</v>
      </c>
      <c r="S7" s="1">
        <f>SUM(응답지_1!T7,응답지_1!T10,응답지_1!T13,응답지_1!T16,응답지_1!T19,응답지_1!T22,응답지_1!T25,응답지_1!T28,응답지_1!T31,응답지_1!T34)</f>
        <v>27</v>
      </c>
      <c r="T7" s="1">
        <f>SUM(응답지_1!U7,응답지_1!U10,응답지_1!U13,응답지_1!U16,응답지_1!U19,응답지_1!U22,응답지_1!U25,응답지_1!U28,응답지_1!U31,응답지_1!U34)</f>
        <v>22</v>
      </c>
      <c r="U7" s="1">
        <f>SUM(응답지_1!V7,응답지_1!V10,응답지_1!V13,응답지_1!V16,응답지_1!V19,응답지_1!V22,응답지_1!V25,응답지_1!V28,응답지_1!V31,응답지_1!V34)</f>
        <v>24</v>
      </c>
      <c r="V7" s="50">
        <f>SUM(응답지_1!W7,응답지_1!W10,응답지_1!W13,응답지_1!W16,응답지_1!W19,응답지_1!W22,응답지_1!W25,응답지_1!W28,응답지_1!W31,응답지_1!W34)</f>
        <v>36</v>
      </c>
      <c r="W7" s="41"/>
    </row>
    <row r="8" spans="1:23" x14ac:dyDescent="0.4">
      <c r="A8" s="40"/>
      <c r="B8" s="58" t="s">
        <v>9</v>
      </c>
      <c r="C8" s="55">
        <f>IF(G2=42,규준표42!B12,IF(G2=41,규준표41!B12,IF(G2=32,규준표32!B12,IF(G2=31,[1]규준표31!B12,IF(G2=22,규준표22!B12,IF(G2=21,규준표21!B12,IF(G2=12,규준표12!B12,IF(G2=11,규준표11!B12))))))))</f>
        <v>5</v>
      </c>
      <c r="D8" s="55">
        <f>IF(G2=42,규준표42!C12,IF(G2=41,규준표41!C12,IF(G2=32,규준표32!C12,IF(G2=31,[1]규준표31!C12,IF(G2=22,규준표22!C12,IF(G2=21,규준표21!C12,IF(G2=12,규준표12!C12,IF(G2=11,규준표11!C12))))))))</f>
        <v>2</v>
      </c>
      <c r="E8" s="55">
        <f>IF(G2=42,규준표42!D12,IF(G2=41,규준표41!D12,IF(G2=32,규준표32!D12,IF(G2=31,[1]규준표31!D12,IF(G2=22,규준표22!D12,IF(G2=21,규준표21!D12,IF(G2=12,규준표12!D12,IF(G2=11,규준표11!D12))))))))</f>
        <v>3</v>
      </c>
      <c r="F8" s="55">
        <f>IF(G2=42,규준표42!E12,IF(G2=41,규준표41!E12,IF(G2=32,규준표32!E12,IF(G2=31,[1]규준표31!E12,IF(G2=22,규준표22!E12,IF(G2=21,규준표21!E12,IF(G2=12,규준표12!E12,IF(G2=11,규준표11!E12))))))))</f>
        <v>5</v>
      </c>
      <c r="G8" s="55">
        <f>IF(G2=42,규준표42!F12,IF(G2=41,규준표41!F12,IF(G2=32,규준표32!F12,IF(G2=31,[1]규준표31!F12,IF(G2=22,규준표22!F12,IF(G2=21,규준표21!F12,IF(G2=12,규준표12!F12,IF(G2=11,규준표11!F12))))))))</f>
        <v>4</v>
      </c>
      <c r="H8" s="55">
        <f>IF(G2=42,규준표42!G12,IF(G2=41,규준표41!G12,IF(G2=32,규준표32!G12,IF(G2=31,[1]규준표31!G12,IF(G2=22,규준표22!G12,IF(G2=21,규준표21!G12,IF(G2=12,규준표12!G12,IF(G2=11,규준표11!G12))))))))</f>
        <v>3</v>
      </c>
      <c r="I8" s="55">
        <f>IF(G2=42,규준표42!H12,IF(G2=41,규준표41!H12,IF(G2=32,규준표32!H12,IF(G2=31,[1]규준표31!H12,IF(G2=22,규준표22!H12,IF(G2=21,규준표21!H12,IF(G2=12,규준표12!H12,IF(G2=11,규준표11!H12))))))))</f>
        <v>1</v>
      </c>
      <c r="J8" s="55">
        <f>IF(G2=42,규준표42!I12,IF(G2=41,규준표41!I12,IF(G2=32,규준표32!I12,IF(G2=31,[1]규준표31!I12,IF(G2=22,규준표22!I12,IF(G2=21,규준표21!I12,IF(G2=12,규준표12!I12,IF(G2=11,규준표11!I12))))))))</f>
        <v>3</v>
      </c>
      <c r="K8" s="55">
        <f>IF(G2=42,규준표42!J12,IF(G2=41,규준표41!J12,IF(G2=32,규준표32!J12,IF(G2=31,[1]규준표31!J12,IF(G2=22,규준표22!J12,IF(G2=21,규준표21!J12,IF(G2=12,규준표12!J12,IF(G2=11,규준표11!J12))))))))</f>
        <v>3</v>
      </c>
      <c r="L8" s="55">
        <f>IF(G2=42,규준표42!K12,IF(G2=41,규준표41!K12,IF(G2=32,규준표32!K12,IF(G2=31,[1]규준표31!K12,IF(G2=22,규준표22!K12,IF(G2=21,규준표21!K12,IF(G2=12,규준표12!K12,IF(G2=11,규준표11!K12))))))))</f>
        <v>4</v>
      </c>
      <c r="M8" s="55">
        <f>IF(G2=42,규준표42!L12,IF(G2=41,규준표41!L12,IF(G2=32,규준표32!L12,IF(G2=31,[1]규준표31!L12,IF(G2=22,규준표22!L12,IF(G2=21,규준표21!L12,IF(G2=12,규준표12!L12,IF(G2=11,규준표11!L12))))))))</f>
        <v>4</v>
      </c>
      <c r="N8" s="55">
        <f>IF(G2=42,규준표42!M12,IF(G2=41,규준표41!M12,IF(G2=32,규준표32!M12,IF(G2=31,[1]규준표31!M12,IF(G2=22,규준표22!M12,IF(G2=21,규준표21!M12,IF(G2=12,규준표12!M12,IF(G2=11,규준표11!M12))))))))</f>
        <v>1</v>
      </c>
      <c r="O8" s="55">
        <f>IF(G2=42,규준표42!N12,IF(G2=41,규준표41!N12,IF(G2=32,규준표32!N12,IF(G2=31,[1]규준표31!N12,IF(G2=22,규준표22!N12,IF(G2=21,규준표21!N12,IF(G2=12,규준표12!N12,IF(G2=11,규준표11!N12))))))))</f>
        <v>1</v>
      </c>
      <c r="P8" s="55">
        <f>IF(G2=42,규준표42!O12,IF(G2=41,규준표41!O12,IF(G2=32,규준표32!O12,IF(G2=31,[1]규준표31!O12,IF(G2=22,[2]P16규준표22!O12,IF(G2=21,규준표21!O12,IF(G2=12,규준표12!O12,IF(G2=11,규준표11!O12))))))))</f>
        <v>1</v>
      </c>
      <c r="Q8" s="55">
        <f>IF(G2=42,규준표42!P12,IF(G2=41,규준표41!P12,IF(G2=32,규준표32!P12,IF(G2=31,[1]규준표31!P12,IF(G2=22,규준표22!P12,IF(G2=21,규준표21!P12,IF(G2=12,규준표12!P12,IF(G2=11,규준표11!P12))))))))</f>
        <v>3</v>
      </c>
      <c r="R8" s="55">
        <f>IF(G2=42,규준표42!Q12,IF(G2=41,규준표41!Q12,IF(G2=32,규준표32!Q12,IF(G2=31,[1]규준표31!Q12,IF(G2=22,규준표22!Q12,IF(G2=21,규준표21!Q12,IF(G2=12,규준표12!Q12,IF(G2=11,규준표11!Q12))))))))</f>
        <v>1</v>
      </c>
      <c r="S8" s="55">
        <f>IF(G2=42,규준표42!R12,IF(G2=41,규준표41!R12,IF(G2=32,규준표32!R12,IF(G2=31,[1]규준표31!R12,IF(G2=22,규준표22!R12,IF(G2=21,규준표21!R12,IF(G2=12,규준표12!R12,IF(G2=11,규준표11!R12))))))))</f>
        <v>4</v>
      </c>
      <c r="T8" s="55">
        <f>IF(G2=42,규준표42!S12,IF(G2=41,규준표41!S12,IF(G2=32,규준표32!S12,IF(G2=31,[1]규준표31!S12,IF(G2=22,규준표22!S12,IF(G2=21,규준표21!S12,IF(G2=12,규준표12!S12,IF(G2=11,규준표11!S12))))))))</f>
        <v>2</v>
      </c>
      <c r="U8" s="55">
        <f>IF(G2=42,규준표42!T12,IF(G2=41,규준표41!T12,IF(G2=32,규준표32!T12,IF(G2=31,[1]규준표31!T12,IF(G2=22,규준표22!T12,IF(G2=21,규준표21!T12,IF(G2=12,규준표12!T12,IF(G2=11,규준표11!T12))))))))</f>
        <v>4</v>
      </c>
      <c r="V8" s="56">
        <f>IF(G2=42,규준표42!U12,IF(G2=41,규준표41!U12,IF(G2=32,규준표32!U12,IF(G2=31,[1]규준표31!U12,IF(G2=22,규준표22!U12,IF(G2=21,규준표21!U12,IF(G2=12,규준표12!U12,IF(G2=11,규준표11!U12))))))))</f>
        <v>9</v>
      </c>
      <c r="W8" s="41"/>
    </row>
    <row r="9" spans="1:23" x14ac:dyDescent="0.4">
      <c r="A9" s="40"/>
      <c r="W9" s="41"/>
    </row>
    <row r="10" spans="1:23" x14ac:dyDescent="0.4">
      <c r="A10" s="40"/>
      <c r="B10" s="62" t="s">
        <v>43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9"/>
      <c r="W10" s="41"/>
    </row>
    <row r="11" spans="1:23" x14ac:dyDescent="0.4">
      <c r="A11" s="40"/>
      <c r="B11" s="59">
        <v>98.8</v>
      </c>
      <c r="C11" s="20" t="str">
        <f>IF(C8=10,1,"")</f>
        <v/>
      </c>
      <c r="D11" s="25" t="str">
        <f t="shared" ref="D11:V11" si="0">IF(D8=10,1,"")</f>
        <v/>
      </c>
      <c r="E11" s="25" t="str">
        <f t="shared" si="0"/>
        <v/>
      </c>
      <c r="F11" s="25" t="str">
        <f t="shared" si="0"/>
        <v/>
      </c>
      <c r="G11" s="25" t="str">
        <f t="shared" si="0"/>
        <v/>
      </c>
      <c r="H11" s="25" t="str">
        <f t="shared" si="0"/>
        <v/>
      </c>
      <c r="I11" s="25" t="str">
        <f t="shared" si="0"/>
        <v/>
      </c>
      <c r="J11" s="25" t="str">
        <f t="shared" si="0"/>
        <v/>
      </c>
      <c r="K11" s="25" t="str">
        <f t="shared" si="0"/>
        <v/>
      </c>
      <c r="L11" s="25" t="str">
        <f t="shared" si="0"/>
        <v/>
      </c>
      <c r="M11" s="25" t="str">
        <f t="shared" si="0"/>
        <v/>
      </c>
      <c r="N11" s="25" t="str">
        <f t="shared" si="0"/>
        <v/>
      </c>
      <c r="O11" s="25" t="str">
        <f t="shared" si="0"/>
        <v/>
      </c>
      <c r="P11" s="25" t="str">
        <f t="shared" si="0"/>
        <v/>
      </c>
      <c r="Q11" s="25" t="str">
        <f t="shared" si="0"/>
        <v/>
      </c>
      <c r="R11" s="25" t="str">
        <f t="shared" si="0"/>
        <v/>
      </c>
      <c r="S11" s="25" t="str">
        <f t="shared" si="0"/>
        <v/>
      </c>
      <c r="T11" s="25" t="str">
        <f t="shared" si="0"/>
        <v/>
      </c>
      <c r="U11" s="25" t="str">
        <f t="shared" si="0"/>
        <v/>
      </c>
      <c r="V11" s="30" t="str">
        <f t="shared" si="0"/>
        <v/>
      </c>
      <c r="W11" s="41"/>
    </row>
    <row r="12" spans="1:23" x14ac:dyDescent="0.4">
      <c r="A12" s="40"/>
      <c r="B12" s="59">
        <v>96</v>
      </c>
      <c r="C12" s="21" t="str">
        <f>IF(C8=9,1,"")</f>
        <v/>
      </c>
      <c r="D12" s="26" t="str">
        <f t="shared" ref="D12:V12" si="1">IF(D8=9,1,"")</f>
        <v/>
      </c>
      <c r="E12" s="26" t="str">
        <f t="shared" si="1"/>
        <v/>
      </c>
      <c r="F12" s="26" t="str">
        <f t="shared" si="1"/>
        <v/>
      </c>
      <c r="G12" s="26" t="str">
        <f t="shared" si="1"/>
        <v/>
      </c>
      <c r="H12" s="26" t="str">
        <f t="shared" si="1"/>
        <v/>
      </c>
      <c r="I12" s="26" t="str">
        <f t="shared" si="1"/>
        <v/>
      </c>
      <c r="J12" s="26" t="str">
        <f t="shared" si="1"/>
        <v/>
      </c>
      <c r="K12" s="26" t="str">
        <f t="shared" si="1"/>
        <v/>
      </c>
      <c r="L12" s="26" t="str">
        <f t="shared" si="1"/>
        <v/>
      </c>
      <c r="M12" s="26" t="str">
        <f t="shared" si="1"/>
        <v/>
      </c>
      <c r="N12" s="26" t="str">
        <f t="shared" si="1"/>
        <v/>
      </c>
      <c r="O12" s="26" t="str">
        <f t="shared" si="1"/>
        <v/>
      </c>
      <c r="P12" s="26" t="str">
        <f t="shared" si="1"/>
        <v/>
      </c>
      <c r="Q12" s="26" t="str">
        <f t="shared" si="1"/>
        <v/>
      </c>
      <c r="R12" s="26" t="str">
        <f t="shared" si="1"/>
        <v/>
      </c>
      <c r="S12" s="26" t="str">
        <f t="shared" si="1"/>
        <v/>
      </c>
      <c r="T12" s="26" t="str">
        <f t="shared" si="1"/>
        <v/>
      </c>
      <c r="U12" s="26" t="str">
        <f t="shared" si="1"/>
        <v/>
      </c>
      <c r="V12" s="31">
        <f t="shared" si="1"/>
        <v>1</v>
      </c>
      <c r="W12" s="41"/>
    </row>
    <row r="13" spans="1:23" x14ac:dyDescent="0.4">
      <c r="A13" s="40"/>
      <c r="B13" s="59">
        <v>89.4</v>
      </c>
      <c r="C13" s="22" t="str">
        <f>IF(C8=8,1,"")</f>
        <v/>
      </c>
      <c r="D13" s="27" t="str">
        <f t="shared" ref="D13:V13" si="2">IF(D8=8,1,"")</f>
        <v/>
      </c>
      <c r="E13" s="27" t="str">
        <f t="shared" si="2"/>
        <v/>
      </c>
      <c r="F13" s="27" t="str">
        <f t="shared" si="2"/>
        <v/>
      </c>
      <c r="G13" s="27" t="str">
        <f t="shared" si="2"/>
        <v/>
      </c>
      <c r="H13" s="27" t="str">
        <f t="shared" si="2"/>
        <v/>
      </c>
      <c r="I13" s="27" t="str">
        <f t="shared" si="2"/>
        <v/>
      </c>
      <c r="J13" s="27" t="str">
        <f t="shared" si="2"/>
        <v/>
      </c>
      <c r="K13" s="27" t="str">
        <f t="shared" si="2"/>
        <v/>
      </c>
      <c r="L13" s="27" t="str">
        <f t="shared" si="2"/>
        <v/>
      </c>
      <c r="M13" s="27" t="str">
        <f t="shared" si="2"/>
        <v/>
      </c>
      <c r="N13" s="27" t="str">
        <f t="shared" si="2"/>
        <v/>
      </c>
      <c r="O13" s="27" t="str">
        <f t="shared" si="2"/>
        <v/>
      </c>
      <c r="P13" s="27" t="str">
        <f t="shared" si="2"/>
        <v/>
      </c>
      <c r="Q13" s="27" t="str">
        <f t="shared" si="2"/>
        <v/>
      </c>
      <c r="R13" s="27" t="str">
        <f t="shared" si="2"/>
        <v/>
      </c>
      <c r="S13" s="27" t="str">
        <f t="shared" si="2"/>
        <v/>
      </c>
      <c r="T13" s="27" t="str">
        <f t="shared" si="2"/>
        <v/>
      </c>
      <c r="U13" s="27" t="str">
        <f t="shared" si="2"/>
        <v/>
      </c>
      <c r="V13" s="32" t="str">
        <f t="shared" si="2"/>
        <v/>
      </c>
      <c r="W13" s="41"/>
    </row>
    <row r="14" spans="1:23" x14ac:dyDescent="0.4">
      <c r="A14" s="40"/>
      <c r="B14" s="59">
        <v>77.3</v>
      </c>
      <c r="C14" s="21" t="str">
        <f>IF(C8=7,1,"")</f>
        <v/>
      </c>
      <c r="D14" s="26" t="str">
        <f t="shared" ref="D14:V14" si="3">IF(D8=7,1,"")</f>
        <v/>
      </c>
      <c r="E14" s="26" t="str">
        <f t="shared" si="3"/>
        <v/>
      </c>
      <c r="F14" s="26" t="str">
        <f t="shared" si="3"/>
        <v/>
      </c>
      <c r="G14" s="26" t="str">
        <f t="shared" si="3"/>
        <v/>
      </c>
      <c r="H14" s="26" t="str">
        <f t="shared" si="3"/>
        <v/>
      </c>
      <c r="I14" s="26" t="str">
        <f t="shared" si="3"/>
        <v/>
      </c>
      <c r="J14" s="26" t="str">
        <f t="shared" si="3"/>
        <v/>
      </c>
      <c r="K14" s="26" t="str">
        <f t="shared" si="3"/>
        <v/>
      </c>
      <c r="L14" s="26" t="str">
        <f t="shared" si="3"/>
        <v/>
      </c>
      <c r="M14" s="26" t="str">
        <f t="shared" si="3"/>
        <v/>
      </c>
      <c r="N14" s="26" t="str">
        <f t="shared" si="3"/>
        <v/>
      </c>
      <c r="O14" s="26" t="str">
        <f t="shared" si="3"/>
        <v/>
      </c>
      <c r="P14" s="26" t="str">
        <f t="shared" si="3"/>
        <v/>
      </c>
      <c r="Q14" s="26" t="str">
        <f t="shared" si="3"/>
        <v/>
      </c>
      <c r="R14" s="26" t="str">
        <f t="shared" si="3"/>
        <v/>
      </c>
      <c r="S14" s="26" t="str">
        <f t="shared" si="3"/>
        <v/>
      </c>
      <c r="T14" s="26" t="str">
        <f t="shared" si="3"/>
        <v/>
      </c>
      <c r="U14" s="26" t="str">
        <f t="shared" si="3"/>
        <v/>
      </c>
      <c r="V14" s="31" t="str">
        <f t="shared" si="3"/>
        <v/>
      </c>
      <c r="W14" s="41"/>
    </row>
    <row r="15" spans="1:23" x14ac:dyDescent="0.4">
      <c r="A15" s="40"/>
      <c r="B15" s="59">
        <v>59.9</v>
      </c>
      <c r="C15" s="21" t="str">
        <f>IF(C8=6,1,"")</f>
        <v/>
      </c>
      <c r="D15" s="26" t="str">
        <f t="shared" ref="D15:V15" si="4">IF(D8=6,1,"")</f>
        <v/>
      </c>
      <c r="E15" s="26" t="str">
        <f t="shared" si="4"/>
        <v/>
      </c>
      <c r="F15" s="26" t="str">
        <f t="shared" si="4"/>
        <v/>
      </c>
      <c r="G15" s="26" t="str">
        <f t="shared" si="4"/>
        <v/>
      </c>
      <c r="H15" s="26" t="str">
        <f t="shared" si="4"/>
        <v/>
      </c>
      <c r="I15" s="26" t="str">
        <f t="shared" si="4"/>
        <v/>
      </c>
      <c r="J15" s="26" t="str">
        <f t="shared" si="4"/>
        <v/>
      </c>
      <c r="K15" s="26" t="str">
        <f t="shared" si="4"/>
        <v/>
      </c>
      <c r="L15" s="26" t="str">
        <f t="shared" si="4"/>
        <v/>
      </c>
      <c r="M15" s="26" t="str">
        <f t="shared" si="4"/>
        <v/>
      </c>
      <c r="N15" s="26" t="str">
        <f t="shared" si="4"/>
        <v/>
      </c>
      <c r="O15" s="26" t="str">
        <f t="shared" si="4"/>
        <v/>
      </c>
      <c r="P15" s="26" t="str">
        <f t="shared" si="4"/>
        <v/>
      </c>
      <c r="Q15" s="26" t="str">
        <f t="shared" si="4"/>
        <v/>
      </c>
      <c r="R15" s="26" t="str">
        <f t="shared" si="4"/>
        <v/>
      </c>
      <c r="S15" s="26" t="str">
        <f t="shared" si="4"/>
        <v/>
      </c>
      <c r="T15" s="26" t="str">
        <f t="shared" si="4"/>
        <v/>
      </c>
      <c r="U15" s="26" t="str">
        <f t="shared" si="4"/>
        <v/>
      </c>
      <c r="V15" s="31" t="str">
        <f t="shared" si="4"/>
        <v/>
      </c>
      <c r="W15" s="41"/>
    </row>
    <row r="16" spans="1:23" x14ac:dyDescent="0.4">
      <c r="A16" s="40"/>
      <c r="B16" s="59">
        <v>40.1</v>
      </c>
      <c r="C16" s="21">
        <f>IF(C8=5,1,"")</f>
        <v>1</v>
      </c>
      <c r="D16" s="26" t="str">
        <f t="shared" ref="D16:V16" si="5">IF(D8=5,1,"")</f>
        <v/>
      </c>
      <c r="E16" s="26" t="str">
        <f t="shared" si="5"/>
        <v/>
      </c>
      <c r="F16" s="26">
        <f t="shared" si="5"/>
        <v>1</v>
      </c>
      <c r="G16" s="26" t="str">
        <f t="shared" si="5"/>
        <v/>
      </c>
      <c r="H16" s="26" t="str">
        <f t="shared" si="5"/>
        <v/>
      </c>
      <c r="I16" s="26" t="str">
        <f t="shared" si="5"/>
        <v/>
      </c>
      <c r="J16" s="26" t="str">
        <f t="shared" si="5"/>
        <v/>
      </c>
      <c r="K16" s="26" t="str">
        <f t="shared" si="5"/>
        <v/>
      </c>
      <c r="L16" s="26" t="str">
        <f t="shared" si="5"/>
        <v/>
      </c>
      <c r="M16" s="26" t="str">
        <f t="shared" si="5"/>
        <v/>
      </c>
      <c r="N16" s="26" t="str">
        <f t="shared" si="5"/>
        <v/>
      </c>
      <c r="O16" s="26" t="str">
        <f t="shared" si="5"/>
        <v/>
      </c>
      <c r="P16" s="26" t="str">
        <f t="shared" si="5"/>
        <v/>
      </c>
      <c r="Q16" s="26" t="str">
        <f t="shared" si="5"/>
        <v/>
      </c>
      <c r="R16" s="26" t="str">
        <f t="shared" si="5"/>
        <v/>
      </c>
      <c r="S16" s="26" t="str">
        <f t="shared" si="5"/>
        <v/>
      </c>
      <c r="T16" s="26" t="str">
        <f t="shared" si="5"/>
        <v/>
      </c>
      <c r="U16" s="26" t="str">
        <f t="shared" si="5"/>
        <v/>
      </c>
      <c r="V16" s="31" t="str">
        <f t="shared" si="5"/>
        <v/>
      </c>
      <c r="W16" s="41"/>
    </row>
    <row r="17" spans="1:23" x14ac:dyDescent="0.4">
      <c r="A17" s="40"/>
      <c r="B17" s="59">
        <v>22.17</v>
      </c>
      <c r="C17" s="21" t="str">
        <f>IF(C8=4,1,"")</f>
        <v/>
      </c>
      <c r="D17" s="26" t="str">
        <f t="shared" ref="D17:V17" si="6">IF(D8=4,1,"")</f>
        <v/>
      </c>
      <c r="E17" s="26" t="str">
        <f t="shared" si="6"/>
        <v/>
      </c>
      <c r="F17" s="26" t="str">
        <f t="shared" si="6"/>
        <v/>
      </c>
      <c r="G17" s="26">
        <f t="shared" si="6"/>
        <v>1</v>
      </c>
      <c r="H17" s="26" t="str">
        <f t="shared" si="6"/>
        <v/>
      </c>
      <c r="I17" s="26" t="str">
        <f t="shared" si="6"/>
        <v/>
      </c>
      <c r="J17" s="26" t="str">
        <f t="shared" si="6"/>
        <v/>
      </c>
      <c r="K17" s="26" t="str">
        <f t="shared" si="6"/>
        <v/>
      </c>
      <c r="L17" s="26">
        <f t="shared" si="6"/>
        <v>1</v>
      </c>
      <c r="M17" s="26">
        <f t="shared" si="6"/>
        <v>1</v>
      </c>
      <c r="N17" s="26" t="str">
        <f t="shared" si="6"/>
        <v/>
      </c>
      <c r="O17" s="26" t="str">
        <f t="shared" si="6"/>
        <v/>
      </c>
      <c r="P17" s="26" t="str">
        <f t="shared" si="6"/>
        <v/>
      </c>
      <c r="Q17" s="26" t="str">
        <f t="shared" si="6"/>
        <v/>
      </c>
      <c r="R17" s="26" t="str">
        <f t="shared" si="6"/>
        <v/>
      </c>
      <c r="S17" s="26">
        <f t="shared" si="6"/>
        <v>1</v>
      </c>
      <c r="T17" s="26" t="str">
        <f t="shared" si="6"/>
        <v/>
      </c>
      <c r="U17" s="26">
        <f t="shared" si="6"/>
        <v>1</v>
      </c>
      <c r="V17" s="31" t="str">
        <f t="shared" si="6"/>
        <v/>
      </c>
      <c r="W17" s="41"/>
    </row>
    <row r="18" spans="1:23" x14ac:dyDescent="0.4">
      <c r="A18" s="40"/>
      <c r="B18" s="59">
        <v>10.6</v>
      </c>
      <c r="C18" s="23" t="str">
        <f>IF(C8=3,1,"")</f>
        <v/>
      </c>
      <c r="D18" s="28" t="str">
        <f t="shared" ref="D18:V18" si="7">IF(D8=3,1,"")</f>
        <v/>
      </c>
      <c r="E18" s="28">
        <f t="shared" si="7"/>
        <v>1</v>
      </c>
      <c r="F18" s="28" t="str">
        <f t="shared" si="7"/>
        <v/>
      </c>
      <c r="G18" s="28" t="str">
        <f t="shared" si="7"/>
        <v/>
      </c>
      <c r="H18" s="28">
        <f t="shared" si="7"/>
        <v>1</v>
      </c>
      <c r="I18" s="28" t="str">
        <f t="shared" si="7"/>
        <v/>
      </c>
      <c r="J18" s="28">
        <f t="shared" si="7"/>
        <v>1</v>
      </c>
      <c r="K18" s="28">
        <f t="shared" si="7"/>
        <v>1</v>
      </c>
      <c r="L18" s="28" t="str">
        <f t="shared" si="7"/>
        <v/>
      </c>
      <c r="M18" s="28" t="str">
        <f t="shared" si="7"/>
        <v/>
      </c>
      <c r="N18" s="28" t="str">
        <f t="shared" si="7"/>
        <v/>
      </c>
      <c r="O18" s="28" t="str">
        <f t="shared" si="7"/>
        <v/>
      </c>
      <c r="P18" s="28" t="str">
        <f t="shared" si="7"/>
        <v/>
      </c>
      <c r="Q18" s="28">
        <f t="shared" si="7"/>
        <v>1</v>
      </c>
      <c r="R18" s="28" t="str">
        <f t="shared" si="7"/>
        <v/>
      </c>
      <c r="S18" s="28" t="str">
        <f t="shared" si="7"/>
        <v/>
      </c>
      <c r="T18" s="28" t="str">
        <f t="shared" si="7"/>
        <v/>
      </c>
      <c r="U18" s="28" t="str">
        <f t="shared" si="7"/>
        <v/>
      </c>
      <c r="V18" s="33" t="str">
        <f t="shared" si="7"/>
        <v/>
      </c>
      <c r="W18" s="41"/>
    </row>
    <row r="19" spans="1:23" x14ac:dyDescent="0.4">
      <c r="A19" s="40"/>
      <c r="B19" s="59">
        <v>4.0999999999999996</v>
      </c>
      <c r="C19" s="21" t="str">
        <f>IF(C8=2,1,"")</f>
        <v/>
      </c>
      <c r="D19" s="26">
        <f t="shared" ref="D19:V19" si="8">IF(D8=2,1,"")</f>
        <v>1</v>
      </c>
      <c r="E19" s="26" t="str">
        <f t="shared" si="8"/>
        <v/>
      </c>
      <c r="F19" s="26" t="str">
        <f t="shared" si="8"/>
        <v/>
      </c>
      <c r="G19" s="26" t="str">
        <f t="shared" si="8"/>
        <v/>
      </c>
      <c r="H19" s="26" t="str">
        <f t="shared" si="8"/>
        <v/>
      </c>
      <c r="I19" s="26" t="str">
        <f t="shared" si="8"/>
        <v/>
      </c>
      <c r="J19" s="26" t="str">
        <f t="shared" si="8"/>
        <v/>
      </c>
      <c r="K19" s="26" t="str">
        <f t="shared" si="8"/>
        <v/>
      </c>
      <c r="L19" s="26" t="str">
        <f t="shared" si="8"/>
        <v/>
      </c>
      <c r="M19" s="26" t="str">
        <f t="shared" si="8"/>
        <v/>
      </c>
      <c r="N19" s="26" t="str">
        <f t="shared" si="8"/>
        <v/>
      </c>
      <c r="O19" s="26" t="str">
        <f t="shared" si="8"/>
        <v/>
      </c>
      <c r="P19" s="26" t="str">
        <f t="shared" si="8"/>
        <v/>
      </c>
      <c r="Q19" s="26" t="str">
        <f t="shared" si="8"/>
        <v/>
      </c>
      <c r="R19" s="26" t="str">
        <f t="shared" si="8"/>
        <v/>
      </c>
      <c r="S19" s="26" t="str">
        <f t="shared" si="8"/>
        <v/>
      </c>
      <c r="T19" s="26">
        <f t="shared" si="8"/>
        <v>1</v>
      </c>
      <c r="U19" s="26" t="str">
        <f t="shared" si="8"/>
        <v/>
      </c>
      <c r="V19" s="31" t="str">
        <f t="shared" si="8"/>
        <v/>
      </c>
      <c r="W19" s="41"/>
    </row>
    <row r="20" spans="1:23" x14ac:dyDescent="0.4">
      <c r="A20" s="40"/>
      <c r="B20" s="60">
        <v>1.2</v>
      </c>
      <c r="C20" s="24" t="str">
        <f>IF(C8=1,1,"")</f>
        <v/>
      </c>
      <c r="D20" s="29" t="str">
        <f t="shared" ref="D20:V20" si="9">IF(D8=1,1,"")</f>
        <v/>
      </c>
      <c r="E20" s="29" t="str">
        <f t="shared" si="9"/>
        <v/>
      </c>
      <c r="F20" s="29" t="str">
        <f t="shared" si="9"/>
        <v/>
      </c>
      <c r="G20" s="29" t="str">
        <f t="shared" si="9"/>
        <v/>
      </c>
      <c r="H20" s="29" t="str">
        <f t="shared" si="9"/>
        <v/>
      </c>
      <c r="I20" s="29">
        <f t="shared" si="9"/>
        <v>1</v>
      </c>
      <c r="J20" s="29" t="str">
        <f t="shared" si="9"/>
        <v/>
      </c>
      <c r="K20" s="29" t="str">
        <f t="shared" si="9"/>
        <v/>
      </c>
      <c r="L20" s="29" t="str">
        <f t="shared" si="9"/>
        <v/>
      </c>
      <c r="M20" s="29" t="str">
        <f t="shared" si="9"/>
        <v/>
      </c>
      <c r="N20" s="29">
        <f t="shared" si="9"/>
        <v>1</v>
      </c>
      <c r="O20" s="29">
        <f t="shared" si="9"/>
        <v>1</v>
      </c>
      <c r="P20" s="29">
        <f t="shared" si="9"/>
        <v>1</v>
      </c>
      <c r="Q20" s="29" t="str">
        <f t="shared" si="9"/>
        <v/>
      </c>
      <c r="R20" s="29">
        <f t="shared" si="9"/>
        <v>1</v>
      </c>
      <c r="S20" s="29" t="str">
        <f t="shared" si="9"/>
        <v/>
      </c>
      <c r="T20" s="29" t="str">
        <f t="shared" si="9"/>
        <v/>
      </c>
      <c r="U20" s="29" t="str">
        <f t="shared" si="9"/>
        <v/>
      </c>
      <c r="V20" s="34" t="str">
        <f t="shared" si="9"/>
        <v/>
      </c>
      <c r="W20" s="41"/>
    </row>
    <row r="21" spans="1:23" x14ac:dyDescent="0.4">
      <c r="A21" s="40"/>
      <c r="W21" s="41"/>
    </row>
    <row r="22" spans="1:23" x14ac:dyDescent="0.4">
      <c r="A22" s="40"/>
      <c r="B22" s="74" t="s">
        <v>45</v>
      </c>
      <c r="C22" s="77" t="s">
        <v>47</v>
      </c>
      <c r="D22" s="78"/>
      <c r="E22" s="46" t="s">
        <v>51</v>
      </c>
      <c r="F22" s="47" t="s">
        <v>52</v>
      </c>
      <c r="G22" s="47" t="s">
        <v>53</v>
      </c>
      <c r="H22" s="47"/>
      <c r="I22" s="47"/>
      <c r="J22" s="48"/>
      <c r="W22" s="41"/>
    </row>
    <row r="23" spans="1:23" x14ac:dyDescent="0.4">
      <c r="A23" s="40"/>
      <c r="B23" s="75"/>
      <c r="C23" s="79"/>
      <c r="D23" s="80"/>
      <c r="E23" s="54" t="str">
        <f>IF(G8&gt;=8,1,"")</f>
        <v/>
      </c>
      <c r="F23" s="55" t="str">
        <f>IF(I8&gt;=8,1,"")</f>
        <v/>
      </c>
      <c r="G23" s="55" t="str">
        <f>IF(L8&gt;=8,1,"")</f>
        <v/>
      </c>
      <c r="H23" s="55"/>
      <c r="I23" s="55"/>
      <c r="J23" s="56"/>
      <c r="M23" s="68" t="s">
        <v>76</v>
      </c>
      <c r="N23" s="69"/>
      <c r="O23" s="69"/>
      <c r="P23" s="70"/>
      <c r="W23" s="41"/>
    </row>
    <row r="24" spans="1:23" x14ac:dyDescent="0.4">
      <c r="A24" s="40"/>
      <c r="B24" s="75"/>
      <c r="C24" s="77" t="s">
        <v>48</v>
      </c>
      <c r="D24" s="78"/>
      <c r="E24" s="46" t="s">
        <v>54</v>
      </c>
      <c r="F24" s="47" t="s">
        <v>55</v>
      </c>
      <c r="G24" s="47" t="s">
        <v>56</v>
      </c>
      <c r="H24" s="47" t="s">
        <v>57</v>
      </c>
      <c r="I24" s="47" t="s">
        <v>58</v>
      </c>
      <c r="J24" s="48" t="s">
        <v>59</v>
      </c>
      <c r="M24" s="49" t="s">
        <v>77</v>
      </c>
      <c r="N24" s="1">
        <f>COUNTIF(E23:G23,1)</f>
        <v>0</v>
      </c>
      <c r="O24" s="1" t="s">
        <v>80</v>
      </c>
      <c r="P24" s="50">
        <f>COUNTIF(E25:J25,1)</f>
        <v>1</v>
      </c>
      <c r="W24" s="41"/>
    </row>
    <row r="25" spans="1:23" x14ac:dyDescent="0.4">
      <c r="A25" s="40"/>
      <c r="B25" s="75"/>
      <c r="C25" s="79"/>
      <c r="D25" s="80"/>
      <c r="E25" s="54" t="str">
        <f>IF(E8&gt;=8,1,"")</f>
        <v/>
      </c>
      <c r="F25" s="55" t="str">
        <f>IF(F8&gt;=8,1,"")</f>
        <v/>
      </c>
      <c r="G25" s="55" t="str">
        <f>IF(P8&gt;=8,1,"")</f>
        <v/>
      </c>
      <c r="H25" s="55" t="str">
        <f>IF(R8&gt;=8,1,"")</f>
        <v/>
      </c>
      <c r="I25" s="55" t="str">
        <f>IF(T8&gt;=8,1,"")</f>
        <v/>
      </c>
      <c r="J25" s="56">
        <f>IF(V8&gt;=8,1,"")</f>
        <v>1</v>
      </c>
      <c r="M25" s="49" t="s">
        <v>78</v>
      </c>
      <c r="N25" s="1">
        <f>COUNTIF(E23:G23,1)</f>
        <v>0</v>
      </c>
      <c r="O25" s="1" t="s">
        <v>80</v>
      </c>
      <c r="P25" s="50">
        <f>COUNTIF(E27:J27,1)</f>
        <v>0</v>
      </c>
      <c r="W25" s="41"/>
    </row>
    <row r="26" spans="1:23" x14ac:dyDescent="0.4">
      <c r="A26" s="40"/>
      <c r="B26" s="75"/>
      <c r="C26" s="77" t="s">
        <v>49</v>
      </c>
      <c r="D26" s="78"/>
      <c r="E26" s="46" t="s">
        <v>60</v>
      </c>
      <c r="F26" s="47" t="s">
        <v>61</v>
      </c>
      <c r="G26" s="47" t="s">
        <v>62</v>
      </c>
      <c r="H26" s="47" t="s">
        <v>63</v>
      </c>
      <c r="I26" s="47" t="s">
        <v>64</v>
      </c>
      <c r="J26" s="48" t="s">
        <v>65</v>
      </c>
      <c r="M26" s="54" t="s">
        <v>79</v>
      </c>
      <c r="N26" s="55">
        <f>COUNTIF(E23:G23,1)</f>
        <v>0</v>
      </c>
      <c r="O26" s="55" t="s">
        <v>80</v>
      </c>
      <c r="P26" s="56">
        <f>COUNTIF(E29:I29,1)</f>
        <v>0</v>
      </c>
      <c r="W26" s="41"/>
    </row>
    <row r="27" spans="1:23" x14ac:dyDescent="0.4">
      <c r="A27" s="40"/>
      <c r="B27" s="75"/>
      <c r="C27" s="79"/>
      <c r="D27" s="80"/>
      <c r="E27" s="54" t="str">
        <f>IF(C8&gt;=8,1,"")</f>
        <v/>
      </c>
      <c r="F27" s="55" t="str">
        <f>IF(D8&gt;=8,1,"")</f>
        <v/>
      </c>
      <c r="G27" s="55" t="str">
        <f>IF(H8&gt;=8,1,"")</f>
        <v/>
      </c>
      <c r="H27" s="55" t="str">
        <f>IF(J8&gt;=8,1,"")</f>
        <v/>
      </c>
      <c r="I27" s="55" t="str">
        <f>IF(N8&gt;=8,1,"")</f>
        <v/>
      </c>
      <c r="J27" s="56" t="str">
        <f>IF(O8&gt;=8,1,"")</f>
        <v/>
      </c>
      <c r="W27" s="41"/>
    </row>
    <row r="28" spans="1:23" x14ac:dyDescent="0.4">
      <c r="A28" s="40"/>
      <c r="B28" s="75"/>
      <c r="C28" s="77" t="s">
        <v>50</v>
      </c>
      <c r="D28" s="78"/>
      <c r="E28" s="1" t="s">
        <v>66</v>
      </c>
      <c r="F28" s="1" t="s">
        <v>67</v>
      </c>
      <c r="G28" s="1" t="s">
        <v>68</v>
      </c>
      <c r="H28" s="1" t="s">
        <v>69</v>
      </c>
      <c r="I28" s="1" t="s">
        <v>70</v>
      </c>
      <c r="J28" s="50"/>
      <c r="W28" s="41"/>
    </row>
    <row r="29" spans="1:23" x14ac:dyDescent="0.4">
      <c r="A29" s="40"/>
      <c r="B29" s="76"/>
      <c r="C29" s="79"/>
      <c r="D29" s="80"/>
      <c r="E29" s="55" t="str">
        <f>IF(K8&gt;=8,1,"")</f>
        <v/>
      </c>
      <c r="F29" s="55" t="str">
        <f>IF(M8&gt;=8,1,"")</f>
        <v/>
      </c>
      <c r="G29" s="55" t="str">
        <f>IF(Q8&gt;=8,1,"")</f>
        <v/>
      </c>
      <c r="H29" s="55" t="str">
        <f>IF(S8&gt;=8,1,"")</f>
        <v/>
      </c>
      <c r="I29" s="55" t="str">
        <f>IF(U8&gt;=8,1,"")</f>
        <v/>
      </c>
      <c r="J29" s="56"/>
      <c r="W29" s="41"/>
    </row>
    <row r="30" spans="1:23" x14ac:dyDescent="0.4">
      <c r="A30" s="40"/>
      <c r="B30" s="61"/>
      <c r="W30" s="41"/>
    </row>
    <row r="31" spans="1:23" x14ac:dyDescent="0.4">
      <c r="A31" s="40"/>
      <c r="B31" s="74" t="s">
        <v>46</v>
      </c>
      <c r="C31" s="81" t="s">
        <v>71</v>
      </c>
      <c r="D31" s="82"/>
      <c r="E31" s="46" t="s">
        <v>57</v>
      </c>
      <c r="F31" s="47" t="s">
        <v>62</v>
      </c>
      <c r="G31" s="47" t="s">
        <v>56</v>
      </c>
      <c r="H31" s="47" t="s">
        <v>65</v>
      </c>
      <c r="I31" s="47" t="s">
        <v>51</v>
      </c>
      <c r="J31" s="48" t="s">
        <v>55</v>
      </c>
      <c r="W31" s="41"/>
    </row>
    <row r="32" spans="1:23" x14ac:dyDescent="0.4">
      <c r="A32" s="40"/>
      <c r="B32" s="75"/>
      <c r="C32" s="83"/>
      <c r="D32" s="84"/>
      <c r="E32" s="54" t="str">
        <f>H25</f>
        <v/>
      </c>
      <c r="F32" s="55" t="str">
        <f>G27</f>
        <v/>
      </c>
      <c r="G32" s="55" t="str">
        <f>G25</f>
        <v/>
      </c>
      <c r="H32" s="55" t="str">
        <f>J27</f>
        <v/>
      </c>
      <c r="I32" s="55" t="str">
        <f>E23</f>
        <v/>
      </c>
      <c r="J32" s="56" t="str">
        <f>F25</f>
        <v/>
      </c>
      <c r="W32" s="41"/>
    </row>
    <row r="33" spans="1:23" x14ac:dyDescent="0.4">
      <c r="A33" s="40"/>
      <c r="B33" s="75"/>
      <c r="C33" s="81" t="s">
        <v>72</v>
      </c>
      <c r="D33" s="82"/>
      <c r="E33" s="46" t="s">
        <v>63</v>
      </c>
      <c r="F33" s="47" t="s">
        <v>53</v>
      </c>
      <c r="G33" s="47" t="s">
        <v>75</v>
      </c>
      <c r="H33" s="47" t="s">
        <v>70</v>
      </c>
      <c r="I33" s="47" t="s">
        <v>68</v>
      </c>
      <c r="J33" s="48"/>
      <c r="W33" s="41"/>
    </row>
    <row r="34" spans="1:23" x14ac:dyDescent="0.4">
      <c r="A34" s="40"/>
      <c r="B34" s="75"/>
      <c r="C34" s="83"/>
      <c r="D34" s="84"/>
      <c r="E34" s="54" t="str">
        <f>H27</f>
        <v/>
      </c>
      <c r="F34" s="55" t="str">
        <f>G23</f>
        <v/>
      </c>
      <c r="G34" s="55" t="str">
        <f>H29</f>
        <v/>
      </c>
      <c r="H34" s="55" t="str">
        <f>I29</f>
        <v/>
      </c>
      <c r="I34" s="55" t="str">
        <f>G29</f>
        <v/>
      </c>
      <c r="J34" s="56"/>
      <c r="W34" s="41"/>
    </row>
    <row r="35" spans="1:23" x14ac:dyDescent="0.4">
      <c r="A35" s="40"/>
      <c r="B35" s="75"/>
      <c r="C35" s="81" t="s">
        <v>73</v>
      </c>
      <c r="D35" s="82"/>
      <c r="E35" s="46" t="s">
        <v>61</v>
      </c>
      <c r="F35" s="47" t="s">
        <v>60</v>
      </c>
      <c r="G35" s="47" t="s">
        <v>54</v>
      </c>
      <c r="H35" s="47" t="s">
        <v>58</v>
      </c>
      <c r="I35" s="47"/>
      <c r="J35" s="48"/>
      <c r="W35" s="41"/>
    </row>
    <row r="36" spans="1:23" x14ac:dyDescent="0.4">
      <c r="A36" s="40"/>
      <c r="B36" s="75"/>
      <c r="C36" s="83"/>
      <c r="D36" s="84"/>
      <c r="E36" s="54" t="str">
        <f>F27</f>
        <v/>
      </c>
      <c r="F36" s="55" t="str">
        <f>E27</f>
        <v/>
      </c>
      <c r="G36" s="55" t="str">
        <f>E25</f>
        <v/>
      </c>
      <c r="H36" s="55" t="str">
        <f>I25</f>
        <v/>
      </c>
      <c r="I36" s="55"/>
      <c r="J36" s="56"/>
      <c r="W36" s="41"/>
    </row>
    <row r="37" spans="1:23" x14ac:dyDescent="0.4">
      <c r="A37" s="40"/>
      <c r="B37" s="75"/>
      <c r="C37" s="81" t="s">
        <v>74</v>
      </c>
      <c r="D37" s="82"/>
      <c r="E37" s="1" t="s">
        <v>52</v>
      </c>
      <c r="F37" s="1" t="s">
        <v>64</v>
      </c>
      <c r="G37" s="1" t="s">
        <v>66</v>
      </c>
      <c r="H37" s="1" t="s">
        <v>67</v>
      </c>
      <c r="I37" s="1" t="s">
        <v>59</v>
      </c>
      <c r="J37" s="50"/>
      <c r="W37" s="41"/>
    </row>
    <row r="38" spans="1:23" x14ac:dyDescent="0.4">
      <c r="A38" s="40"/>
      <c r="B38" s="76"/>
      <c r="C38" s="83"/>
      <c r="D38" s="84"/>
      <c r="E38" s="55" t="str">
        <f>F23</f>
        <v/>
      </c>
      <c r="F38" s="55" t="str">
        <f>I27</f>
        <v/>
      </c>
      <c r="G38" s="55" t="str">
        <f>E29</f>
        <v/>
      </c>
      <c r="H38" s="55" t="str">
        <f>F29</f>
        <v/>
      </c>
      <c r="I38" s="55">
        <f>J25</f>
        <v>1</v>
      </c>
      <c r="J38" s="56"/>
      <c r="W38" s="41"/>
    </row>
    <row r="39" spans="1:23" ht="18" thickBot="1" x14ac:dyDescent="0.45">
      <c r="A39" s="42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4"/>
    </row>
  </sheetData>
  <mergeCells count="13">
    <mergeCell ref="B31:B38"/>
    <mergeCell ref="C31:D32"/>
    <mergeCell ref="C33:D34"/>
    <mergeCell ref="C35:D36"/>
    <mergeCell ref="C37:D38"/>
    <mergeCell ref="M23:P23"/>
    <mergeCell ref="B4:C4"/>
    <mergeCell ref="E4:F4"/>
    <mergeCell ref="B22:B29"/>
    <mergeCell ref="C22:D23"/>
    <mergeCell ref="C24:D25"/>
    <mergeCell ref="C26:D27"/>
    <mergeCell ref="C28:D29"/>
  </mergeCells>
  <phoneticPr fontId="2" type="noConversion"/>
  <conditionalFormatting sqref="C8:V8">
    <cfRule type="cellIs" dxfId="4" priority="2" operator="lessThanOrEqual">
      <formula>3</formula>
    </cfRule>
    <cfRule type="cellIs" dxfId="3" priority="3" operator="greaterThanOrEqual">
      <formula>8</formula>
    </cfRule>
  </conditionalFormatting>
  <conditionalFormatting sqref="C11:V20">
    <cfRule type="cellIs" dxfId="2" priority="6" operator="equal">
      <formula>1</formula>
    </cfRule>
    <cfRule type="expression" dxfId="1" priority="8">
      <formula>"$C$8=1"</formula>
    </cfRule>
  </conditionalFormatting>
  <conditionalFormatting sqref="E22:J38">
    <cfRule type="cellIs" dxfId="0" priority="1" operator="equal">
      <formula>1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E4FAE-E9D9-48E7-AC09-8CB2B6832335}">
  <dimension ref="A1:U13"/>
  <sheetViews>
    <sheetView workbookViewId="0">
      <selection activeCell="K21" sqref="K21"/>
    </sheetView>
  </sheetViews>
  <sheetFormatPr defaultColWidth="8.8984375" defaultRowHeight="17.399999999999999" x14ac:dyDescent="0.4"/>
  <cols>
    <col min="1" max="1" width="18.296875" style="1" customWidth="1"/>
    <col min="2" max="16384" width="8.8984375" style="1"/>
  </cols>
  <sheetData>
    <row r="1" spans="1:21" x14ac:dyDescent="0.4">
      <c r="A1" s="1" t="s">
        <v>35</v>
      </c>
      <c r="B1" s="1" t="s">
        <v>8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</row>
    <row r="2" spans="1:21" x14ac:dyDescent="0.4">
      <c r="A2" s="1">
        <v>1</v>
      </c>
      <c r="B2" s="1">
        <v>16</v>
      </c>
      <c r="C2" s="1">
        <v>23</v>
      </c>
      <c r="D2" s="1">
        <v>22</v>
      </c>
      <c r="E2" s="1">
        <v>19</v>
      </c>
      <c r="F2" s="1">
        <v>17</v>
      </c>
      <c r="G2" s="1">
        <v>16</v>
      </c>
      <c r="H2" s="1">
        <v>17</v>
      </c>
      <c r="I2" s="1">
        <v>22</v>
      </c>
      <c r="J2" s="1">
        <v>23</v>
      </c>
      <c r="K2" s="1">
        <v>19</v>
      </c>
      <c r="L2" s="1">
        <v>20</v>
      </c>
      <c r="M2" s="1">
        <v>22</v>
      </c>
      <c r="N2" s="1">
        <v>18</v>
      </c>
      <c r="O2" s="1">
        <v>15</v>
      </c>
      <c r="P2" s="1">
        <v>18</v>
      </c>
      <c r="Q2" s="1">
        <v>14</v>
      </c>
      <c r="R2" s="1">
        <v>22</v>
      </c>
      <c r="S2" s="1">
        <v>22</v>
      </c>
      <c r="T2" s="1">
        <v>21</v>
      </c>
      <c r="U2" s="1">
        <v>20</v>
      </c>
    </row>
    <row r="3" spans="1:21" x14ac:dyDescent="0.4">
      <c r="A3" s="1">
        <v>2</v>
      </c>
      <c r="B3" s="1">
        <v>19</v>
      </c>
      <c r="C3" s="1">
        <v>26</v>
      </c>
      <c r="D3" s="1">
        <v>25</v>
      </c>
      <c r="E3" s="1">
        <v>21</v>
      </c>
      <c r="F3" s="1">
        <v>20</v>
      </c>
      <c r="G3" s="1">
        <v>19</v>
      </c>
      <c r="H3" s="1">
        <v>19</v>
      </c>
      <c r="I3" s="1">
        <v>24</v>
      </c>
      <c r="J3" s="1">
        <v>26</v>
      </c>
      <c r="K3" s="1">
        <v>21</v>
      </c>
      <c r="L3" s="1">
        <v>22</v>
      </c>
      <c r="M3" s="1">
        <v>25</v>
      </c>
      <c r="N3" s="1">
        <v>21</v>
      </c>
      <c r="O3" s="1">
        <v>18</v>
      </c>
      <c r="P3" s="1">
        <v>20</v>
      </c>
      <c r="Q3" s="1">
        <v>17</v>
      </c>
      <c r="R3" s="1">
        <v>24</v>
      </c>
      <c r="S3" s="1">
        <v>25</v>
      </c>
      <c r="T3" s="1">
        <v>24</v>
      </c>
      <c r="U3" s="1">
        <v>22</v>
      </c>
    </row>
    <row r="4" spans="1:21" x14ac:dyDescent="0.4">
      <c r="A4" s="1">
        <v>3</v>
      </c>
      <c r="B4" s="1">
        <v>21</v>
      </c>
      <c r="C4" s="1">
        <v>28</v>
      </c>
      <c r="D4" s="1">
        <v>27</v>
      </c>
      <c r="E4" s="1">
        <v>24</v>
      </c>
      <c r="F4" s="1">
        <v>22</v>
      </c>
      <c r="G4" s="1">
        <v>21</v>
      </c>
      <c r="H4" s="1">
        <v>21</v>
      </c>
      <c r="I4" s="1">
        <v>27</v>
      </c>
      <c r="J4" s="1">
        <v>28</v>
      </c>
      <c r="K4" s="1">
        <v>24</v>
      </c>
      <c r="L4" s="1">
        <v>25</v>
      </c>
      <c r="M4" s="1">
        <v>27</v>
      </c>
      <c r="N4" s="1">
        <v>24</v>
      </c>
      <c r="O4" s="1">
        <v>21</v>
      </c>
      <c r="P4" s="1">
        <v>23</v>
      </c>
      <c r="Q4" s="1">
        <v>20</v>
      </c>
      <c r="R4" s="1">
        <v>27</v>
      </c>
      <c r="S4" s="1">
        <v>27</v>
      </c>
      <c r="T4" s="1">
        <v>27</v>
      </c>
      <c r="U4" s="1">
        <v>24</v>
      </c>
    </row>
    <row r="5" spans="1:21" x14ac:dyDescent="0.4">
      <c r="A5" s="1">
        <v>4</v>
      </c>
      <c r="B5" s="1">
        <v>24</v>
      </c>
      <c r="C5" s="1">
        <v>30</v>
      </c>
      <c r="D5" s="1">
        <v>29</v>
      </c>
      <c r="E5" s="1">
        <v>27</v>
      </c>
      <c r="F5" s="1">
        <v>25</v>
      </c>
      <c r="G5" s="1">
        <v>24</v>
      </c>
      <c r="H5" s="1">
        <v>23</v>
      </c>
      <c r="I5" s="1">
        <v>29</v>
      </c>
      <c r="J5" s="1">
        <v>31</v>
      </c>
      <c r="K5" s="1">
        <v>26</v>
      </c>
      <c r="L5" s="1">
        <v>28</v>
      </c>
      <c r="M5" s="1">
        <v>29</v>
      </c>
      <c r="N5" s="1">
        <v>27</v>
      </c>
      <c r="O5" s="1">
        <v>24</v>
      </c>
      <c r="P5" s="1">
        <v>25</v>
      </c>
      <c r="Q5" s="1">
        <v>24</v>
      </c>
      <c r="R5" s="1">
        <v>29</v>
      </c>
      <c r="S5" s="1">
        <v>29</v>
      </c>
      <c r="T5" s="1">
        <v>30</v>
      </c>
      <c r="U5" s="1">
        <v>27</v>
      </c>
    </row>
    <row r="6" spans="1:21" x14ac:dyDescent="0.4">
      <c r="A6" s="1">
        <v>5</v>
      </c>
      <c r="B6" s="1">
        <v>27</v>
      </c>
      <c r="C6" s="1">
        <v>32</v>
      </c>
      <c r="D6" s="1">
        <v>32</v>
      </c>
      <c r="E6" s="1">
        <v>29</v>
      </c>
      <c r="F6" s="1">
        <v>27</v>
      </c>
      <c r="G6" s="1">
        <v>26</v>
      </c>
      <c r="H6" s="1">
        <v>25</v>
      </c>
      <c r="I6" s="1">
        <v>31</v>
      </c>
      <c r="J6" s="1">
        <v>34</v>
      </c>
      <c r="K6" s="1">
        <v>29</v>
      </c>
      <c r="L6" s="1">
        <v>30</v>
      </c>
      <c r="M6" s="1">
        <v>31</v>
      </c>
      <c r="N6" s="1">
        <v>30</v>
      </c>
      <c r="O6" s="1">
        <v>27</v>
      </c>
      <c r="P6" s="1">
        <v>28</v>
      </c>
      <c r="Q6" s="1">
        <v>27</v>
      </c>
      <c r="R6" s="1">
        <v>32</v>
      </c>
      <c r="S6" s="1">
        <v>31</v>
      </c>
      <c r="T6" s="1">
        <v>33</v>
      </c>
      <c r="U6" s="1">
        <v>29</v>
      </c>
    </row>
    <row r="7" spans="1:21" x14ac:dyDescent="0.4">
      <c r="A7" s="1">
        <v>6</v>
      </c>
      <c r="B7" s="1">
        <v>30</v>
      </c>
      <c r="C7" s="1">
        <v>34</v>
      </c>
      <c r="D7" s="1">
        <v>34</v>
      </c>
      <c r="E7" s="1">
        <v>32</v>
      </c>
      <c r="F7" s="1">
        <v>30</v>
      </c>
      <c r="G7" s="1">
        <v>29</v>
      </c>
      <c r="H7" s="1">
        <v>28</v>
      </c>
      <c r="I7" s="1">
        <v>34</v>
      </c>
      <c r="J7" s="1">
        <v>36</v>
      </c>
      <c r="K7" s="1">
        <v>31</v>
      </c>
      <c r="L7" s="1">
        <v>33</v>
      </c>
      <c r="M7" s="1">
        <v>33</v>
      </c>
      <c r="N7" s="1">
        <v>33</v>
      </c>
      <c r="O7" s="1">
        <v>30</v>
      </c>
      <c r="P7" s="1">
        <v>31</v>
      </c>
      <c r="Q7" s="1">
        <v>30</v>
      </c>
      <c r="R7" s="1">
        <v>35</v>
      </c>
      <c r="S7" s="1">
        <v>33</v>
      </c>
      <c r="T7" s="1">
        <v>36</v>
      </c>
      <c r="U7" s="1">
        <v>31</v>
      </c>
    </row>
    <row r="8" spans="1:21" x14ac:dyDescent="0.4">
      <c r="A8" s="1">
        <v>7</v>
      </c>
      <c r="B8" s="1">
        <v>33</v>
      </c>
      <c r="C8" s="1">
        <v>36</v>
      </c>
      <c r="D8" s="1">
        <v>36</v>
      </c>
      <c r="E8" s="1">
        <v>35</v>
      </c>
      <c r="F8" s="1">
        <v>33</v>
      </c>
      <c r="G8" s="1">
        <v>31</v>
      </c>
      <c r="H8" s="1">
        <v>30</v>
      </c>
      <c r="I8" s="1">
        <v>36</v>
      </c>
      <c r="J8" s="1">
        <v>39</v>
      </c>
      <c r="K8" s="1">
        <v>34</v>
      </c>
      <c r="L8" s="1">
        <v>36</v>
      </c>
      <c r="M8" s="1">
        <v>36</v>
      </c>
      <c r="N8" s="1">
        <v>36</v>
      </c>
      <c r="O8" s="1">
        <v>33</v>
      </c>
      <c r="P8" s="1">
        <v>33</v>
      </c>
      <c r="Q8" s="1">
        <v>34</v>
      </c>
      <c r="R8" s="1">
        <v>37</v>
      </c>
      <c r="S8" s="1">
        <v>35</v>
      </c>
      <c r="T8" s="1">
        <v>39</v>
      </c>
      <c r="U8" s="1">
        <v>34</v>
      </c>
    </row>
    <row r="9" spans="1:21" x14ac:dyDescent="0.4">
      <c r="A9" s="1">
        <v>8</v>
      </c>
      <c r="B9" s="1">
        <v>35</v>
      </c>
      <c r="C9" s="1">
        <v>39</v>
      </c>
      <c r="D9" s="1">
        <v>38</v>
      </c>
      <c r="E9" s="1">
        <v>37</v>
      </c>
      <c r="F9" s="1">
        <v>35</v>
      </c>
      <c r="G9" s="1">
        <v>34</v>
      </c>
      <c r="H9" s="1">
        <v>32</v>
      </c>
      <c r="I9" s="1">
        <v>38</v>
      </c>
      <c r="J9" s="1">
        <v>42</v>
      </c>
      <c r="K9" s="1">
        <v>36</v>
      </c>
      <c r="L9" s="1">
        <v>38</v>
      </c>
      <c r="M9" s="1">
        <v>38</v>
      </c>
      <c r="N9" s="1">
        <v>39</v>
      </c>
      <c r="O9" s="1">
        <v>36</v>
      </c>
      <c r="P9" s="1">
        <v>36</v>
      </c>
      <c r="Q9" s="1">
        <v>37</v>
      </c>
      <c r="R9" s="1">
        <v>40</v>
      </c>
      <c r="S9" s="1">
        <v>37</v>
      </c>
      <c r="T9" s="1">
        <v>42</v>
      </c>
      <c r="U9" s="1">
        <v>37</v>
      </c>
    </row>
    <row r="10" spans="1:21" x14ac:dyDescent="0.4">
      <c r="A10" s="1">
        <v>9</v>
      </c>
      <c r="B10" s="1">
        <v>38</v>
      </c>
      <c r="C10" s="1">
        <v>41</v>
      </c>
      <c r="D10" s="1">
        <v>41</v>
      </c>
      <c r="E10" s="1">
        <v>40</v>
      </c>
      <c r="F10" s="1">
        <v>38</v>
      </c>
      <c r="G10" s="1">
        <v>36</v>
      </c>
      <c r="H10" s="1">
        <v>34</v>
      </c>
      <c r="I10" s="1">
        <v>40</v>
      </c>
      <c r="J10" s="1">
        <v>44</v>
      </c>
      <c r="K10" s="1">
        <v>39</v>
      </c>
      <c r="L10" s="1">
        <v>41</v>
      </c>
      <c r="M10" s="1">
        <v>40</v>
      </c>
      <c r="N10" s="1">
        <v>42</v>
      </c>
      <c r="O10" s="1">
        <v>39</v>
      </c>
      <c r="P10" s="1">
        <v>38</v>
      </c>
      <c r="Q10" s="1">
        <v>41</v>
      </c>
      <c r="R10" s="1">
        <v>42</v>
      </c>
      <c r="S10" s="1">
        <v>40</v>
      </c>
      <c r="T10" s="1">
        <v>44</v>
      </c>
      <c r="U10" s="1">
        <v>39</v>
      </c>
    </row>
    <row r="11" spans="1:21" x14ac:dyDescent="0.4">
      <c r="A11" s="1">
        <v>10</v>
      </c>
      <c r="B11" s="1">
        <v>51</v>
      </c>
      <c r="C11" s="1">
        <v>51</v>
      </c>
      <c r="D11" s="1">
        <v>51</v>
      </c>
      <c r="E11" s="1">
        <v>51</v>
      </c>
      <c r="F11" s="1">
        <v>51</v>
      </c>
      <c r="G11" s="1">
        <v>51</v>
      </c>
      <c r="H11" s="1">
        <v>51</v>
      </c>
      <c r="I11" s="1">
        <v>51</v>
      </c>
      <c r="J11" s="1">
        <v>51</v>
      </c>
      <c r="K11" s="1">
        <v>51</v>
      </c>
      <c r="L11" s="1">
        <v>51</v>
      </c>
      <c r="M11" s="1">
        <v>51</v>
      </c>
      <c r="N11" s="1">
        <v>51</v>
      </c>
      <c r="O11" s="1">
        <v>51</v>
      </c>
      <c r="P11" s="1">
        <v>51</v>
      </c>
      <c r="Q11" s="1">
        <v>51</v>
      </c>
      <c r="R11" s="1">
        <v>51</v>
      </c>
      <c r="S11" s="1">
        <v>51</v>
      </c>
      <c r="T11" s="1">
        <v>51</v>
      </c>
      <c r="U11" s="1">
        <v>51</v>
      </c>
    </row>
    <row r="12" spans="1:21" x14ac:dyDescent="0.4">
      <c r="B12" s="1">
        <f>COUNTIF(B2:B11,"&lt;="&amp;B13)+1</f>
        <v>5</v>
      </c>
      <c r="C12" s="1">
        <f t="shared" ref="C12:U12" si="0">COUNTIF(C2:C11,"&lt;="&amp;C13)+1</f>
        <v>2</v>
      </c>
      <c r="D12" s="1">
        <f t="shared" si="0"/>
        <v>2</v>
      </c>
      <c r="E12" s="1">
        <f t="shared" si="0"/>
        <v>4</v>
      </c>
      <c r="F12" s="1">
        <f t="shared" si="0"/>
        <v>4</v>
      </c>
      <c r="G12" s="1">
        <f t="shared" si="0"/>
        <v>3</v>
      </c>
      <c r="H12" s="1">
        <f t="shared" si="0"/>
        <v>1</v>
      </c>
      <c r="I12" s="1">
        <f t="shared" si="0"/>
        <v>2</v>
      </c>
      <c r="J12" s="1">
        <f t="shared" si="0"/>
        <v>4</v>
      </c>
      <c r="K12" s="1">
        <f t="shared" si="0"/>
        <v>3</v>
      </c>
      <c r="L12" s="1">
        <f t="shared" si="0"/>
        <v>4</v>
      </c>
      <c r="M12" s="1">
        <f t="shared" si="0"/>
        <v>1</v>
      </c>
      <c r="N12" s="1">
        <f t="shared" si="0"/>
        <v>1</v>
      </c>
      <c r="O12" s="1">
        <f t="shared" si="0"/>
        <v>2</v>
      </c>
      <c r="P12" s="1">
        <f t="shared" si="0"/>
        <v>2</v>
      </c>
      <c r="Q12" s="1">
        <f t="shared" si="0"/>
        <v>2</v>
      </c>
      <c r="R12" s="1">
        <f t="shared" si="0"/>
        <v>4</v>
      </c>
      <c r="S12" s="1">
        <f t="shared" si="0"/>
        <v>2</v>
      </c>
      <c r="T12" s="1">
        <f t="shared" si="0"/>
        <v>3</v>
      </c>
      <c r="U12" s="1">
        <f t="shared" si="0"/>
        <v>8</v>
      </c>
    </row>
    <row r="13" spans="1:21" x14ac:dyDescent="0.4">
      <c r="B13" s="1">
        <f>결과지_1!C7</f>
        <v>25</v>
      </c>
      <c r="C13" s="1">
        <f>결과지_1!D7</f>
        <v>23</v>
      </c>
      <c r="D13" s="1">
        <f>결과지_1!E7</f>
        <v>24</v>
      </c>
      <c r="E13" s="1">
        <f>결과지_1!F7</f>
        <v>25</v>
      </c>
      <c r="F13" s="1">
        <f>결과지_1!G7</f>
        <v>22</v>
      </c>
      <c r="G13" s="1">
        <f>결과지_1!H7</f>
        <v>20</v>
      </c>
      <c r="H13" s="1">
        <f>결과지_1!I7</f>
        <v>16</v>
      </c>
      <c r="I13" s="1">
        <f>결과지_1!J7</f>
        <v>23</v>
      </c>
      <c r="J13" s="1">
        <f>결과지_1!K7</f>
        <v>28</v>
      </c>
      <c r="K13" s="1">
        <f>결과지_1!L7</f>
        <v>23</v>
      </c>
      <c r="L13" s="1">
        <f>결과지_1!M7</f>
        <v>26</v>
      </c>
      <c r="M13" s="1">
        <f>결과지_1!N7</f>
        <v>18</v>
      </c>
      <c r="N13" s="1">
        <f>결과지_1!O7</f>
        <v>17</v>
      </c>
      <c r="O13" s="1">
        <f>결과지_1!P7</f>
        <v>15</v>
      </c>
      <c r="P13" s="1">
        <f>결과지_1!Q7</f>
        <v>19</v>
      </c>
      <c r="Q13" s="1">
        <f>결과지_1!R7</f>
        <v>16</v>
      </c>
      <c r="R13" s="1">
        <f>결과지_1!S7</f>
        <v>27</v>
      </c>
      <c r="S13" s="1">
        <f>결과지_1!T7</f>
        <v>22</v>
      </c>
      <c r="T13" s="1">
        <f>결과지_1!U7</f>
        <v>24</v>
      </c>
      <c r="U13" s="1">
        <f>결과지_1!V7</f>
        <v>36</v>
      </c>
    </row>
  </sheetData>
  <phoneticPr fontId="2" type="noConversion"/>
  <conditionalFormatting sqref="A1:XFD1048576">
    <cfRule type="colorScale" priority="2">
      <colorScale>
        <cfvo type="min"/>
        <cfvo type="max"/>
        <color rgb="FFFCFCFF"/>
        <color rgb="FFF8696B"/>
      </colorScale>
    </cfRule>
  </conditionalFormatting>
  <conditionalFormatting sqref="B2:U11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77E60-57D3-4553-B51B-083D23366791}">
  <dimension ref="A1:U13"/>
  <sheetViews>
    <sheetView workbookViewId="0">
      <selection activeCell="N20" sqref="N20"/>
    </sheetView>
  </sheetViews>
  <sheetFormatPr defaultColWidth="8.8984375" defaultRowHeight="17.399999999999999" x14ac:dyDescent="0.4"/>
  <cols>
    <col min="1" max="1" width="18.296875" style="1" customWidth="1"/>
    <col min="2" max="16384" width="8.8984375" style="1"/>
  </cols>
  <sheetData>
    <row r="1" spans="1:21" x14ac:dyDescent="0.4">
      <c r="A1" s="1" t="s">
        <v>34</v>
      </c>
      <c r="B1" s="1" t="s">
        <v>8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</row>
    <row r="2" spans="1:21" x14ac:dyDescent="0.4">
      <c r="A2" s="1">
        <v>1</v>
      </c>
      <c r="B2" s="1">
        <v>19</v>
      </c>
      <c r="C2" s="1">
        <v>24</v>
      </c>
      <c r="D2" s="1">
        <v>25</v>
      </c>
      <c r="E2" s="1">
        <v>20</v>
      </c>
      <c r="F2" s="1">
        <v>21</v>
      </c>
      <c r="G2" s="1">
        <v>21</v>
      </c>
      <c r="H2" s="1">
        <v>19</v>
      </c>
      <c r="I2" s="1">
        <v>21</v>
      </c>
      <c r="J2" s="1">
        <v>23</v>
      </c>
      <c r="K2" s="1">
        <v>17</v>
      </c>
      <c r="L2" s="1">
        <v>21</v>
      </c>
      <c r="M2" s="1">
        <v>22</v>
      </c>
      <c r="N2" s="1">
        <v>24</v>
      </c>
      <c r="O2" s="1">
        <v>20</v>
      </c>
      <c r="P2" s="1">
        <v>19</v>
      </c>
      <c r="Q2" s="1">
        <v>17</v>
      </c>
      <c r="R2" s="1">
        <v>20</v>
      </c>
      <c r="S2" s="1">
        <v>24</v>
      </c>
      <c r="T2" s="1">
        <v>20</v>
      </c>
      <c r="U2" s="1">
        <v>22</v>
      </c>
    </row>
    <row r="3" spans="1:21" x14ac:dyDescent="0.4">
      <c r="A3" s="1">
        <v>2</v>
      </c>
      <c r="B3" s="1">
        <v>21</v>
      </c>
      <c r="C3" s="1">
        <v>27</v>
      </c>
      <c r="D3" s="1">
        <v>27</v>
      </c>
      <c r="E3" s="1">
        <v>23</v>
      </c>
      <c r="F3" s="1">
        <v>23</v>
      </c>
      <c r="G3" s="1">
        <v>23</v>
      </c>
      <c r="H3" s="1">
        <v>21</v>
      </c>
      <c r="I3" s="1">
        <v>23</v>
      </c>
      <c r="J3" s="1">
        <v>25</v>
      </c>
      <c r="K3" s="1">
        <v>20</v>
      </c>
      <c r="L3" s="1">
        <v>23</v>
      </c>
      <c r="M3" s="1">
        <v>24</v>
      </c>
      <c r="N3" s="1">
        <v>26</v>
      </c>
      <c r="O3" s="1">
        <v>23</v>
      </c>
      <c r="P3" s="1">
        <v>21</v>
      </c>
      <c r="Q3" s="1">
        <v>20</v>
      </c>
      <c r="R3" s="1">
        <v>23</v>
      </c>
      <c r="S3" s="1">
        <v>26</v>
      </c>
      <c r="T3" s="1">
        <v>23</v>
      </c>
      <c r="U3" s="1">
        <v>24</v>
      </c>
    </row>
    <row r="4" spans="1:21" x14ac:dyDescent="0.4">
      <c r="A4" s="1">
        <v>3</v>
      </c>
      <c r="B4" s="1">
        <v>24</v>
      </c>
      <c r="C4" s="1">
        <v>29</v>
      </c>
      <c r="D4" s="1">
        <v>29</v>
      </c>
      <c r="E4" s="1">
        <v>25</v>
      </c>
      <c r="F4" s="1">
        <v>25</v>
      </c>
      <c r="G4" s="1">
        <v>26</v>
      </c>
      <c r="H4" s="1">
        <v>23</v>
      </c>
      <c r="I4" s="1">
        <v>26</v>
      </c>
      <c r="J4" s="1">
        <v>28</v>
      </c>
      <c r="K4" s="1">
        <v>22</v>
      </c>
      <c r="L4" s="1">
        <v>25</v>
      </c>
      <c r="M4" s="1">
        <v>26</v>
      </c>
      <c r="N4" s="1">
        <v>29</v>
      </c>
      <c r="O4" s="1">
        <v>26</v>
      </c>
      <c r="P4" s="1">
        <v>24</v>
      </c>
      <c r="Q4" s="1">
        <v>22</v>
      </c>
      <c r="R4" s="1">
        <v>25</v>
      </c>
      <c r="S4" s="1">
        <v>28</v>
      </c>
      <c r="T4" s="1">
        <v>26</v>
      </c>
      <c r="U4" s="1">
        <v>26</v>
      </c>
    </row>
    <row r="5" spans="1:21" x14ac:dyDescent="0.4">
      <c r="A5" s="1">
        <v>4</v>
      </c>
      <c r="B5" s="1">
        <v>26</v>
      </c>
      <c r="C5" s="1">
        <v>31</v>
      </c>
      <c r="D5" s="1">
        <v>31</v>
      </c>
      <c r="E5" s="1">
        <v>28</v>
      </c>
      <c r="F5" s="1">
        <v>27</v>
      </c>
      <c r="G5" s="1">
        <v>28</v>
      </c>
      <c r="H5" s="1">
        <v>25</v>
      </c>
      <c r="I5" s="1">
        <v>29</v>
      </c>
      <c r="J5" s="1">
        <v>30</v>
      </c>
      <c r="K5" s="1">
        <v>25</v>
      </c>
      <c r="L5" s="1">
        <v>28</v>
      </c>
      <c r="M5" s="1">
        <v>28</v>
      </c>
      <c r="N5" s="1">
        <v>32</v>
      </c>
      <c r="O5" s="1">
        <v>29</v>
      </c>
      <c r="P5" s="1">
        <v>26</v>
      </c>
      <c r="Q5" s="1">
        <v>25</v>
      </c>
      <c r="R5" s="1">
        <v>28</v>
      </c>
      <c r="S5" s="1">
        <v>31</v>
      </c>
      <c r="T5" s="1">
        <v>29</v>
      </c>
      <c r="U5" s="1">
        <v>28</v>
      </c>
    </row>
    <row r="6" spans="1:21" x14ac:dyDescent="0.4">
      <c r="A6" s="1">
        <v>5</v>
      </c>
      <c r="B6" s="1">
        <v>29</v>
      </c>
      <c r="C6" s="1">
        <v>33</v>
      </c>
      <c r="D6" s="1">
        <v>33</v>
      </c>
      <c r="E6" s="1">
        <v>30</v>
      </c>
      <c r="F6" s="1">
        <v>29</v>
      </c>
      <c r="G6" s="1">
        <v>30</v>
      </c>
      <c r="H6" s="1">
        <v>27</v>
      </c>
      <c r="I6" s="1">
        <v>31</v>
      </c>
      <c r="J6" s="1">
        <v>33</v>
      </c>
      <c r="K6" s="1">
        <v>27</v>
      </c>
      <c r="L6" s="1">
        <v>30</v>
      </c>
      <c r="M6" s="1">
        <v>30</v>
      </c>
      <c r="N6" s="1">
        <v>34</v>
      </c>
      <c r="O6" s="1">
        <v>32</v>
      </c>
      <c r="P6" s="1">
        <v>29</v>
      </c>
      <c r="Q6" s="1">
        <v>28</v>
      </c>
      <c r="R6" s="1">
        <v>30</v>
      </c>
      <c r="S6" s="1">
        <v>33</v>
      </c>
      <c r="T6" s="1">
        <v>32</v>
      </c>
      <c r="U6" s="1">
        <v>30</v>
      </c>
    </row>
    <row r="7" spans="1:21" x14ac:dyDescent="0.4">
      <c r="A7" s="1">
        <v>6</v>
      </c>
      <c r="B7" s="1">
        <v>32</v>
      </c>
      <c r="C7" s="1">
        <v>36</v>
      </c>
      <c r="D7" s="1">
        <v>35</v>
      </c>
      <c r="E7" s="1">
        <v>32</v>
      </c>
      <c r="F7" s="1">
        <v>31</v>
      </c>
      <c r="G7" s="1">
        <v>32</v>
      </c>
      <c r="H7" s="1">
        <v>29</v>
      </c>
      <c r="I7" s="1">
        <v>34</v>
      </c>
      <c r="J7" s="1">
        <v>36</v>
      </c>
      <c r="K7" s="1">
        <v>30</v>
      </c>
      <c r="L7" s="1">
        <v>32</v>
      </c>
      <c r="M7" s="1">
        <v>33</v>
      </c>
      <c r="N7" s="1">
        <v>37</v>
      </c>
      <c r="O7" s="1">
        <v>35</v>
      </c>
      <c r="P7" s="1">
        <v>31</v>
      </c>
      <c r="Q7" s="1">
        <v>31</v>
      </c>
      <c r="R7" s="1">
        <v>33</v>
      </c>
      <c r="S7" s="1">
        <v>35</v>
      </c>
      <c r="T7" s="1">
        <v>34</v>
      </c>
      <c r="U7" s="1">
        <v>32</v>
      </c>
    </row>
    <row r="8" spans="1:21" x14ac:dyDescent="0.4">
      <c r="A8" s="1">
        <v>7</v>
      </c>
      <c r="B8" s="1">
        <v>34</v>
      </c>
      <c r="C8" s="1">
        <v>38</v>
      </c>
      <c r="D8" s="1">
        <v>37</v>
      </c>
      <c r="E8" s="1">
        <v>35</v>
      </c>
      <c r="F8" s="1">
        <v>33</v>
      </c>
      <c r="G8" s="1">
        <v>34</v>
      </c>
      <c r="H8" s="1">
        <v>31</v>
      </c>
      <c r="I8" s="1">
        <v>36</v>
      </c>
      <c r="J8" s="1">
        <v>38</v>
      </c>
      <c r="K8" s="1">
        <v>32</v>
      </c>
      <c r="L8" s="1">
        <v>35</v>
      </c>
      <c r="M8" s="1">
        <v>35</v>
      </c>
      <c r="N8" s="1">
        <v>39</v>
      </c>
      <c r="O8" s="1">
        <v>38</v>
      </c>
      <c r="P8" s="1">
        <v>34</v>
      </c>
      <c r="Q8" s="1">
        <v>33</v>
      </c>
      <c r="R8" s="1">
        <v>35</v>
      </c>
      <c r="S8" s="1">
        <v>37</v>
      </c>
      <c r="T8" s="1">
        <v>37</v>
      </c>
      <c r="U8" s="1">
        <v>34</v>
      </c>
    </row>
    <row r="9" spans="1:21" x14ac:dyDescent="0.4">
      <c r="A9" s="1">
        <v>8</v>
      </c>
      <c r="B9" s="1">
        <v>37</v>
      </c>
      <c r="C9" s="1">
        <v>40</v>
      </c>
      <c r="D9" s="1">
        <v>39</v>
      </c>
      <c r="E9" s="1">
        <v>37</v>
      </c>
      <c r="F9" s="1">
        <v>35</v>
      </c>
      <c r="G9" s="1">
        <v>37</v>
      </c>
      <c r="H9" s="1">
        <v>33</v>
      </c>
      <c r="I9" s="1">
        <v>38</v>
      </c>
      <c r="J9" s="1">
        <v>41</v>
      </c>
      <c r="K9" s="1">
        <v>35</v>
      </c>
      <c r="L9" s="1">
        <v>37</v>
      </c>
      <c r="M9" s="1">
        <v>37</v>
      </c>
      <c r="N9" s="1">
        <v>42</v>
      </c>
      <c r="O9" s="1">
        <v>40</v>
      </c>
      <c r="P9" s="1">
        <v>36</v>
      </c>
      <c r="Q9" s="1">
        <v>36</v>
      </c>
      <c r="R9" s="1">
        <v>38</v>
      </c>
      <c r="S9" s="1">
        <v>39</v>
      </c>
      <c r="T9" s="1">
        <v>40</v>
      </c>
      <c r="U9" s="1">
        <v>36</v>
      </c>
    </row>
    <row r="10" spans="1:21" x14ac:dyDescent="0.4">
      <c r="A10" s="1">
        <v>9</v>
      </c>
      <c r="B10" s="1">
        <v>39</v>
      </c>
      <c r="C10" s="1">
        <v>43</v>
      </c>
      <c r="D10" s="1">
        <v>41</v>
      </c>
      <c r="E10" s="1">
        <v>40</v>
      </c>
      <c r="F10" s="1">
        <v>37</v>
      </c>
      <c r="G10" s="1">
        <v>39</v>
      </c>
      <c r="H10" s="1">
        <v>35</v>
      </c>
      <c r="I10" s="1">
        <v>40</v>
      </c>
      <c r="J10" s="1">
        <v>43</v>
      </c>
      <c r="K10" s="1">
        <v>37</v>
      </c>
      <c r="L10" s="1">
        <v>39</v>
      </c>
      <c r="M10" s="1">
        <v>40</v>
      </c>
      <c r="N10" s="1">
        <v>45</v>
      </c>
      <c r="O10" s="1">
        <v>43</v>
      </c>
      <c r="P10" s="1">
        <v>38</v>
      </c>
      <c r="Q10" s="1">
        <v>39</v>
      </c>
      <c r="R10" s="1">
        <v>40</v>
      </c>
      <c r="S10" s="1">
        <v>41</v>
      </c>
      <c r="T10" s="1">
        <v>43</v>
      </c>
      <c r="U10" s="1">
        <v>38</v>
      </c>
    </row>
    <row r="11" spans="1:21" x14ac:dyDescent="0.4">
      <c r="A11" s="1">
        <v>10</v>
      </c>
      <c r="B11" s="1">
        <v>51</v>
      </c>
      <c r="C11" s="1">
        <v>51</v>
      </c>
      <c r="D11" s="1">
        <v>51</v>
      </c>
      <c r="E11" s="1">
        <v>51</v>
      </c>
      <c r="F11" s="1">
        <v>51</v>
      </c>
      <c r="G11" s="1">
        <v>51</v>
      </c>
      <c r="H11" s="1">
        <v>51</v>
      </c>
      <c r="I11" s="1">
        <v>51</v>
      </c>
      <c r="J11" s="1">
        <v>51</v>
      </c>
      <c r="K11" s="1">
        <v>51</v>
      </c>
      <c r="L11" s="1">
        <v>51</v>
      </c>
      <c r="M11" s="1">
        <v>51</v>
      </c>
      <c r="N11" s="1">
        <v>51</v>
      </c>
      <c r="O11" s="1">
        <v>51</v>
      </c>
      <c r="P11" s="1">
        <v>51</v>
      </c>
      <c r="Q11" s="1">
        <v>51</v>
      </c>
      <c r="R11" s="1">
        <v>51</v>
      </c>
      <c r="S11" s="1">
        <v>51</v>
      </c>
      <c r="T11" s="1">
        <v>51</v>
      </c>
      <c r="U11" s="1">
        <v>51</v>
      </c>
    </row>
    <row r="12" spans="1:21" x14ac:dyDescent="0.4">
      <c r="B12" s="1">
        <f>COUNTIF(B2:B11,"&lt;="&amp;B13)+1</f>
        <v>4</v>
      </c>
      <c r="C12" s="1">
        <f>COUNTIF(C2:C11,"&lt;="&amp;C13)+1</f>
        <v>1</v>
      </c>
      <c r="D12" s="1">
        <f t="shared" ref="D12:U12" si="0">COUNTIF(D2:D11,"&lt;="&amp;D13)+1</f>
        <v>1</v>
      </c>
      <c r="E12" s="1">
        <f t="shared" si="0"/>
        <v>4</v>
      </c>
      <c r="F12" s="1">
        <f t="shared" si="0"/>
        <v>2</v>
      </c>
      <c r="G12" s="1">
        <f t="shared" si="0"/>
        <v>1</v>
      </c>
      <c r="H12" s="1">
        <f t="shared" si="0"/>
        <v>1</v>
      </c>
      <c r="I12" s="1">
        <f t="shared" si="0"/>
        <v>3</v>
      </c>
      <c r="J12" s="1">
        <f t="shared" si="0"/>
        <v>4</v>
      </c>
      <c r="K12" s="1">
        <f t="shared" si="0"/>
        <v>4</v>
      </c>
      <c r="L12" s="1">
        <f t="shared" si="0"/>
        <v>4</v>
      </c>
      <c r="M12" s="1">
        <f t="shared" si="0"/>
        <v>1</v>
      </c>
      <c r="N12" s="1">
        <f t="shared" si="0"/>
        <v>1</v>
      </c>
      <c r="O12" s="1">
        <f t="shared" si="0"/>
        <v>1</v>
      </c>
      <c r="P12" s="1">
        <f t="shared" si="0"/>
        <v>2</v>
      </c>
      <c r="Q12" s="1">
        <f t="shared" si="0"/>
        <v>1</v>
      </c>
      <c r="R12" s="1">
        <f t="shared" si="0"/>
        <v>4</v>
      </c>
      <c r="S12" s="1">
        <f t="shared" si="0"/>
        <v>1</v>
      </c>
      <c r="T12" s="1">
        <f t="shared" si="0"/>
        <v>3</v>
      </c>
      <c r="U12" s="1">
        <f t="shared" si="0"/>
        <v>9</v>
      </c>
    </row>
    <row r="13" spans="1:21" x14ac:dyDescent="0.4">
      <c r="B13" s="1">
        <f>결과지_1!C7</f>
        <v>25</v>
      </c>
      <c r="C13" s="1">
        <f>결과지_1!D7</f>
        <v>23</v>
      </c>
      <c r="D13" s="1">
        <f>결과지_1!E7</f>
        <v>24</v>
      </c>
      <c r="E13" s="1">
        <f>결과지_1!F7</f>
        <v>25</v>
      </c>
      <c r="F13" s="1">
        <f>결과지_1!G7</f>
        <v>22</v>
      </c>
      <c r="G13" s="1">
        <f>결과지_1!H7</f>
        <v>20</v>
      </c>
      <c r="H13" s="1">
        <f>결과지_1!I7</f>
        <v>16</v>
      </c>
      <c r="I13" s="1">
        <f>결과지_1!J7</f>
        <v>23</v>
      </c>
      <c r="J13" s="1">
        <f>결과지_1!K7</f>
        <v>28</v>
      </c>
      <c r="K13" s="1">
        <f>결과지_1!L7</f>
        <v>23</v>
      </c>
      <c r="L13" s="1">
        <f>결과지_1!M7</f>
        <v>26</v>
      </c>
      <c r="M13" s="1">
        <f>결과지_1!N7</f>
        <v>18</v>
      </c>
      <c r="N13" s="1">
        <f>결과지_1!O7</f>
        <v>17</v>
      </c>
      <c r="O13" s="1">
        <f>결과지_1!P7</f>
        <v>15</v>
      </c>
      <c r="P13" s="1">
        <f>결과지_1!Q7</f>
        <v>19</v>
      </c>
      <c r="Q13" s="1">
        <f>결과지_1!R7</f>
        <v>16</v>
      </c>
      <c r="R13" s="1">
        <f>결과지_1!S7</f>
        <v>27</v>
      </c>
      <c r="S13" s="1">
        <f>결과지_1!T7</f>
        <v>22</v>
      </c>
      <c r="T13" s="1">
        <f>결과지_1!U7</f>
        <v>24</v>
      </c>
      <c r="U13" s="1">
        <f>결과지_1!V7</f>
        <v>36</v>
      </c>
    </row>
  </sheetData>
  <phoneticPr fontId="2" type="noConversion"/>
  <conditionalFormatting sqref="A1:XFD1048576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F822F-C519-4E53-A57E-880ADAEAF7B1}">
  <dimension ref="A1:U13"/>
  <sheetViews>
    <sheetView workbookViewId="0">
      <selection activeCell="J15" sqref="J15"/>
    </sheetView>
  </sheetViews>
  <sheetFormatPr defaultColWidth="8.8984375" defaultRowHeight="17.399999999999999" x14ac:dyDescent="0.4"/>
  <cols>
    <col min="1" max="1" width="18.296875" style="1" customWidth="1"/>
    <col min="2" max="16384" width="8.8984375" style="1"/>
  </cols>
  <sheetData>
    <row r="1" spans="1:21" x14ac:dyDescent="0.4">
      <c r="A1" s="1" t="s">
        <v>33</v>
      </c>
      <c r="B1" s="1" t="s">
        <v>8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</row>
    <row r="2" spans="1:21" x14ac:dyDescent="0.4">
      <c r="A2" s="1">
        <v>1</v>
      </c>
      <c r="B2" s="1">
        <v>14</v>
      </c>
      <c r="C2" s="1">
        <v>23</v>
      </c>
      <c r="D2" s="1">
        <v>20</v>
      </c>
      <c r="E2" s="1">
        <v>17</v>
      </c>
      <c r="F2" s="1">
        <v>17</v>
      </c>
      <c r="G2" s="1">
        <v>16</v>
      </c>
      <c r="H2" s="1">
        <v>18</v>
      </c>
      <c r="I2" s="1">
        <v>23</v>
      </c>
      <c r="J2" s="1">
        <v>25</v>
      </c>
      <c r="K2" s="1">
        <v>18</v>
      </c>
      <c r="L2" s="1">
        <v>22</v>
      </c>
      <c r="M2" s="1">
        <v>23</v>
      </c>
      <c r="N2" s="1">
        <v>17</v>
      </c>
      <c r="O2" s="1">
        <v>14</v>
      </c>
      <c r="P2" s="1">
        <v>19</v>
      </c>
      <c r="Q2" s="1">
        <v>15</v>
      </c>
      <c r="R2" s="1">
        <v>23</v>
      </c>
      <c r="S2" s="1">
        <v>21</v>
      </c>
      <c r="T2" s="1">
        <v>21</v>
      </c>
      <c r="U2" s="1">
        <v>22</v>
      </c>
    </row>
    <row r="3" spans="1:21" x14ac:dyDescent="0.4">
      <c r="A3" s="1">
        <v>2</v>
      </c>
      <c r="B3" s="1">
        <v>17</v>
      </c>
      <c r="C3" s="1">
        <v>26</v>
      </c>
      <c r="D3" s="1">
        <v>23</v>
      </c>
      <c r="E3" s="1">
        <v>20</v>
      </c>
      <c r="F3" s="1">
        <v>19</v>
      </c>
      <c r="G3" s="1">
        <v>19</v>
      </c>
      <c r="H3" s="1">
        <v>20</v>
      </c>
      <c r="I3" s="1">
        <v>25</v>
      </c>
      <c r="J3" s="1">
        <v>27</v>
      </c>
      <c r="K3" s="1">
        <v>20</v>
      </c>
      <c r="L3" s="1">
        <v>24</v>
      </c>
      <c r="M3" s="1">
        <v>25</v>
      </c>
      <c r="N3" s="1">
        <v>21</v>
      </c>
      <c r="O3" s="1">
        <v>18</v>
      </c>
      <c r="P3" s="1">
        <v>21</v>
      </c>
      <c r="Q3" s="1">
        <v>19</v>
      </c>
      <c r="R3" s="1">
        <v>25</v>
      </c>
      <c r="S3" s="1">
        <v>23</v>
      </c>
      <c r="T3" s="1">
        <v>24</v>
      </c>
      <c r="U3" s="1">
        <v>24</v>
      </c>
    </row>
    <row r="4" spans="1:21" x14ac:dyDescent="0.4">
      <c r="A4" s="1">
        <v>3</v>
      </c>
      <c r="B4" s="1">
        <v>20</v>
      </c>
      <c r="C4" s="1">
        <v>28</v>
      </c>
      <c r="D4" s="1">
        <v>26</v>
      </c>
      <c r="E4" s="1">
        <v>23</v>
      </c>
      <c r="F4" s="1">
        <v>22</v>
      </c>
      <c r="G4" s="1">
        <v>22</v>
      </c>
      <c r="H4" s="1">
        <v>22</v>
      </c>
      <c r="I4" s="1">
        <v>28</v>
      </c>
      <c r="J4" s="1">
        <v>30</v>
      </c>
      <c r="K4" s="1">
        <v>23</v>
      </c>
      <c r="L4" s="1">
        <v>27</v>
      </c>
      <c r="M4" s="1">
        <v>27</v>
      </c>
      <c r="N4" s="1">
        <v>24</v>
      </c>
      <c r="O4" s="1">
        <v>21</v>
      </c>
      <c r="P4" s="1">
        <v>23</v>
      </c>
      <c r="Q4" s="1">
        <v>22</v>
      </c>
      <c r="R4" s="1">
        <v>28</v>
      </c>
      <c r="S4" s="1">
        <v>25</v>
      </c>
      <c r="T4" s="1">
        <v>27</v>
      </c>
      <c r="U4" s="1">
        <v>26</v>
      </c>
    </row>
    <row r="5" spans="1:21" x14ac:dyDescent="0.4">
      <c r="A5" s="1">
        <v>4</v>
      </c>
      <c r="B5" s="1">
        <v>23</v>
      </c>
      <c r="C5" s="1">
        <v>30</v>
      </c>
      <c r="D5" s="1">
        <v>28</v>
      </c>
      <c r="E5" s="1">
        <v>26</v>
      </c>
      <c r="F5" s="1">
        <v>25</v>
      </c>
      <c r="G5" s="1">
        <v>24</v>
      </c>
      <c r="H5" s="1">
        <v>24</v>
      </c>
      <c r="I5" s="1">
        <v>30</v>
      </c>
      <c r="J5" s="1">
        <v>32</v>
      </c>
      <c r="K5" s="1">
        <v>25</v>
      </c>
      <c r="L5" s="1">
        <v>29</v>
      </c>
      <c r="M5" s="1">
        <v>29</v>
      </c>
      <c r="N5" s="1">
        <v>27</v>
      </c>
      <c r="O5" s="1">
        <v>25</v>
      </c>
      <c r="P5" s="1">
        <v>26</v>
      </c>
      <c r="Q5" s="1">
        <v>25</v>
      </c>
      <c r="R5" s="1">
        <v>30</v>
      </c>
      <c r="S5" s="1">
        <v>28</v>
      </c>
      <c r="T5" s="1">
        <v>30</v>
      </c>
      <c r="U5" s="1">
        <v>28</v>
      </c>
    </row>
    <row r="6" spans="1:21" x14ac:dyDescent="0.4">
      <c r="A6" s="1">
        <v>5</v>
      </c>
      <c r="B6" s="1">
        <v>26</v>
      </c>
      <c r="C6" s="1">
        <v>32</v>
      </c>
      <c r="D6" s="1">
        <v>31</v>
      </c>
      <c r="E6" s="1">
        <v>29</v>
      </c>
      <c r="F6" s="1">
        <v>28</v>
      </c>
      <c r="G6" s="1">
        <v>27</v>
      </c>
      <c r="H6" s="1">
        <v>26</v>
      </c>
      <c r="I6" s="1">
        <v>32</v>
      </c>
      <c r="J6" s="1">
        <v>35</v>
      </c>
      <c r="K6" s="1">
        <v>28</v>
      </c>
      <c r="L6" s="1">
        <v>32</v>
      </c>
      <c r="M6" s="1">
        <v>31</v>
      </c>
      <c r="N6" s="1">
        <v>30</v>
      </c>
      <c r="O6" s="1">
        <v>28</v>
      </c>
      <c r="P6" s="1">
        <v>28</v>
      </c>
      <c r="Q6" s="1">
        <v>28</v>
      </c>
      <c r="R6" s="1">
        <v>33</v>
      </c>
      <c r="S6" s="1">
        <v>30</v>
      </c>
      <c r="T6" s="1">
        <v>32</v>
      </c>
      <c r="U6" s="1">
        <v>30</v>
      </c>
    </row>
    <row r="7" spans="1:21" x14ac:dyDescent="0.4">
      <c r="A7" s="1">
        <v>6</v>
      </c>
      <c r="B7" s="1">
        <v>29</v>
      </c>
      <c r="C7" s="1">
        <v>35</v>
      </c>
      <c r="D7" s="1">
        <v>33</v>
      </c>
      <c r="E7" s="1">
        <v>32</v>
      </c>
      <c r="F7" s="1">
        <v>30</v>
      </c>
      <c r="G7" s="1">
        <v>30</v>
      </c>
      <c r="H7" s="1">
        <v>28</v>
      </c>
      <c r="I7" s="1">
        <v>34</v>
      </c>
      <c r="J7" s="1">
        <v>37</v>
      </c>
      <c r="K7" s="1">
        <v>30</v>
      </c>
      <c r="L7" s="1">
        <v>34</v>
      </c>
      <c r="M7" s="1">
        <v>34</v>
      </c>
      <c r="N7" s="1">
        <v>33</v>
      </c>
      <c r="O7" s="1">
        <v>32</v>
      </c>
      <c r="P7" s="1">
        <v>30</v>
      </c>
      <c r="Q7" s="1">
        <v>31</v>
      </c>
      <c r="R7" s="1">
        <v>36</v>
      </c>
      <c r="S7" s="1">
        <v>32</v>
      </c>
      <c r="T7" s="1">
        <v>35</v>
      </c>
      <c r="U7" s="1">
        <v>32</v>
      </c>
    </row>
    <row r="8" spans="1:21" x14ac:dyDescent="0.4">
      <c r="A8" s="1">
        <v>7</v>
      </c>
      <c r="B8" s="1">
        <v>32</v>
      </c>
      <c r="C8" s="1">
        <v>37</v>
      </c>
      <c r="D8" s="1">
        <v>36</v>
      </c>
      <c r="E8" s="1">
        <v>35</v>
      </c>
      <c r="F8" s="1">
        <v>33</v>
      </c>
      <c r="G8" s="1">
        <v>33</v>
      </c>
      <c r="H8" s="1">
        <v>30</v>
      </c>
      <c r="I8" s="1">
        <v>36</v>
      </c>
      <c r="J8" s="1">
        <v>40</v>
      </c>
      <c r="K8" s="1">
        <v>33</v>
      </c>
      <c r="L8" s="1">
        <v>37</v>
      </c>
      <c r="M8" s="1">
        <v>36</v>
      </c>
      <c r="N8" s="1">
        <v>36</v>
      </c>
      <c r="O8" s="1">
        <v>35</v>
      </c>
      <c r="P8" s="1">
        <v>33</v>
      </c>
      <c r="Q8" s="1">
        <v>34</v>
      </c>
      <c r="R8" s="1">
        <v>38</v>
      </c>
      <c r="S8" s="1">
        <v>35</v>
      </c>
      <c r="T8" s="1">
        <v>37</v>
      </c>
      <c r="U8" s="1">
        <v>34</v>
      </c>
    </row>
    <row r="9" spans="1:21" x14ac:dyDescent="0.4">
      <c r="A9" s="1">
        <v>8</v>
      </c>
      <c r="B9" s="1">
        <v>35</v>
      </c>
      <c r="C9" s="1">
        <v>39</v>
      </c>
      <c r="D9" s="1">
        <v>38</v>
      </c>
      <c r="E9" s="1">
        <v>38</v>
      </c>
      <c r="F9" s="1">
        <v>36</v>
      </c>
      <c r="G9" s="1">
        <v>35</v>
      </c>
      <c r="H9" s="1">
        <v>32</v>
      </c>
      <c r="I9" s="1">
        <v>38</v>
      </c>
      <c r="J9" s="1">
        <v>42</v>
      </c>
      <c r="K9" s="1">
        <v>35</v>
      </c>
      <c r="L9" s="1">
        <v>39</v>
      </c>
      <c r="M9" s="1">
        <v>38</v>
      </c>
      <c r="N9" s="1">
        <v>39</v>
      </c>
      <c r="O9" s="1">
        <v>39</v>
      </c>
      <c r="P9" s="1">
        <v>35</v>
      </c>
      <c r="Q9" s="1">
        <v>37</v>
      </c>
      <c r="R9" s="1">
        <v>41</v>
      </c>
      <c r="S9" s="1">
        <v>37</v>
      </c>
      <c r="T9" s="1">
        <v>40</v>
      </c>
      <c r="U9" s="1">
        <v>36</v>
      </c>
    </row>
    <row r="10" spans="1:21" x14ac:dyDescent="0.4">
      <c r="A10" s="1">
        <v>9</v>
      </c>
      <c r="B10" s="1">
        <v>38</v>
      </c>
      <c r="C10" s="1">
        <v>41</v>
      </c>
      <c r="D10" s="1">
        <v>41</v>
      </c>
      <c r="E10" s="1">
        <v>41</v>
      </c>
      <c r="F10" s="1">
        <v>38</v>
      </c>
      <c r="G10" s="1">
        <v>38</v>
      </c>
      <c r="H10" s="1">
        <v>34</v>
      </c>
      <c r="I10" s="1">
        <v>41</v>
      </c>
      <c r="J10" s="1">
        <v>45</v>
      </c>
      <c r="K10" s="1">
        <v>38</v>
      </c>
      <c r="L10" s="1">
        <v>42</v>
      </c>
      <c r="M10" s="1">
        <v>40</v>
      </c>
      <c r="N10" s="1">
        <v>43</v>
      </c>
      <c r="O10" s="1">
        <v>42</v>
      </c>
      <c r="P10" s="1">
        <v>38</v>
      </c>
      <c r="Q10" s="1">
        <v>41</v>
      </c>
      <c r="R10" s="1">
        <v>43</v>
      </c>
      <c r="S10" s="1">
        <v>40</v>
      </c>
      <c r="T10" s="1">
        <v>43</v>
      </c>
      <c r="U10" s="1">
        <v>38</v>
      </c>
    </row>
    <row r="11" spans="1:21" x14ac:dyDescent="0.4">
      <c r="A11" s="1">
        <v>10</v>
      </c>
      <c r="B11" s="1">
        <v>51</v>
      </c>
      <c r="C11" s="1">
        <v>51</v>
      </c>
      <c r="D11" s="1">
        <v>51</v>
      </c>
      <c r="E11" s="1">
        <v>51</v>
      </c>
      <c r="F11" s="1">
        <v>51</v>
      </c>
      <c r="G11" s="1">
        <v>51</v>
      </c>
      <c r="H11" s="1">
        <v>51</v>
      </c>
      <c r="I11" s="1">
        <v>51</v>
      </c>
      <c r="J11" s="1">
        <v>51</v>
      </c>
      <c r="K11" s="1">
        <v>51</v>
      </c>
      <c r="L11" s="1">
        <v>51</v>
      </c>
      <c r="M11" s="1">
        <v>51</v>
      </c>
      <c r="N11" s="1">
        <v>51</v>
      </c>
      <c r="O11" s="1">
        <v>51</v>
      </c>
      <c r="P11" s="1">
        <v>51</v>
      </c>
      <c r="Q11" s="1">
        <v>51</v>
      </c>
      <c r="R11" s="1">
        <v>51</v>
      </c>
      <c r="S11" s="1">
        <v>51</v>
      </c>
      <c r="T11" s="1">
        <v>51</v>
      </c>
      <c r="U11" s="1">
        <v>51</v>
      </c>
    </row>
    <row r="12" spans="1:21" x14ac:dyDescent="0.4">
      <c r="B12" s="1">
        <f>COUNTIF(B2:B11,"&lt;="&amp;B13)+1</f>
        <v>5</v>
      </c>
      <c r="C12" s="1">
        <f t="shared" ref="C12:U12" si="0">COUNTIF(C2:C11,"&lt;="&amp;C13)+1</f>
        <v>2</v>
      </c>
      <c r="D12" s="1">
        <f t="shared" si="0"/>
        <v>3</v>
      </c>
      <c r="E12" s="1">
        <f t="shared" si="0"/>
        <v>4</v>
      </c>
      <c r="F12" s="1">
        <f t="shared" si="0"/>
        <v>4</v>
      </c>
      <c r="G12" s="1">
        <f t="shared" si="0"/>
        <v>3</v>
      </c>
      <c r="H12" s="1">
        <f t="shared" si="0"/>
        <v>1</v>
      </c>
      <c r="I12" s="1">
        <f t="shared" si="0"/>
        <v>2</v>
      </c>
      <c r="J12" s="1">
        <f t="shared" si="0"/>
        <v>3</v>
      </c>
      <c r="K12" s="1">
        <f t="shared" si="0"/>
        <v>4</v>
      </c>
      <c r="L12" s="1">
        <f t="shared" si="0"/>
        <v>3</v>
      </c>
      <c r="M12" s="1">
        <f t="shared" si="0"/>
        <v>1</v>
      </c>
      <c r="N12" s="1">
        <f t="shared" si="0"/>
        <v>2</v>
      </c>
      <c r="O12" s="1">
        <f t="shared" si="0"/>
        <v>2</v>
      </c>
      <c r="P12" s="1">
        <f t="shared" si="0"/>
        <v>2</v>
      </c>
      <c r="Q12" s="1">
        <f t="shared" si="0"/>
        <v>2</v>
      </c>
      <c r="R12" s="1">
        <f t="shared" si="0"/>
        <v>3</v>
      </c>
      <c r="S12" s="1">
        <f t="shared" si="0"/>
        <v>2</v>
      </c>
      <c r="T12" s="1">
        <f t="shared" si="0"/>
        <v>3</v>
      </c>
      <c r="U12" s="1">
        <f t="shared" si="0"/>
        <v>9</v>
      </c>
    </row>
    <row r="13" spans="1:21" x14ac:dyDescent="0.4">
      <c r="B13" s="1">
        <f>결과지_1!C7</f>
        <v>25</v>
      </c>
      <c r="C13" s="1">
        <f>결과지_1!D7</f>
        <v>23</v>
      </c>
      <c r="D13" s="1">
        <f>결과지_1!E7</f>
        <v>24</v>
      </c>
      <c r="E13" s="1">
        <f>결과지_1!F7</f>
        <v>25</v>
      </c>
      <c r="F13" s="1">
        <f>결과지_1!G7</f>
        <v>22</v>
      </c>
      <c r="G13" s="1">
        <f>결과지_1!H7</f>
        <v>20</v>
      </c>
      <c r="H13" s="1">
        <f>결과지_1!I7</f>
        <v>16</v>
      </c>
      <c r="I13" s="1">
        <f>결과지_1!J7</f>
        <v>23</v>
      </c>
      <c r="J13" s="1">
        <f>결과지_1!K7</f>
        <v>28</v>
      </c>
      <c r="K13" s="1">
        <f>결과지_1!L7</f>
        <v>23</v>
      </c>
      <c r="L13" s="1">
        <f>결과지_1!M7</f>
        <v>26</v>
      </c>
      <c r="M13" s="1">
        <f>결과지_1!N7</f>
        <v>18</v>
      </c>
      <c r="N13" s="1">
        <f>결과지_1!O7</f>
        <v>17</v>
      </c>
      <c r="O13" s="1">
        <f>결과지_1!P7</f>
        <v>15</v>
      </c>
      <c r="P13" s="1">
        <f>결과지_1!Q7</f>
        <v>19</v>
      </c>
      <c r="Q13" s="1">
        <f>결과지_1!R7</f>
        <v>16</v>
      </c>
      <c r="R13" s="1">
        <f>결과지_1!S7</f>
        <v>27</v>
      </c>
      <c r="S13" s="1">
        <f>결과지_1!T7</f>
        <v>22</v>
      </c>
      <c r="T13" s="1">
        <f>결과지_1!U7</f>
        <v>24</v>
      </c>
      <c r="U13" s="1">
        <f>결과지_1!V7</f>
        <v>36</v>
      </c>
    </row>
  </sheetData>
  <phoneticPr fontId="2" type="noConversion"/>
  <conditionalFormatting sqref="A1:XF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698C2-1331-4234-864C-74EDE862FF23}">
  <dimension ref="A1:U13"/>
  <sheetViews>
    <sheetView workbookViewId="0">
      <selection activeCell="M17" sqref="M17"/>
    </sheetView>
  </sheetViews>
  <sheetFormatPr defaultColWidth="8.8984375" defaultRowHeight="17.399999999999999" x14ac:dyDescent="0.4"/>
  <cols>
    <col min="1" max="1" width="18.296875" style="1" customWidth="1"/>
    <col min="2" max="16384" width="8.8984375" style="1"/>
  </cols>
  <sheetData>
    <row r="1" spans="1:21" x14ac:dyDescent="0.4">
      <c r="A1" s="1" t="s">
        <v>38</v>
      </c>
      <c r="B1" s="1" t="s">
        <v>8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</row>
    <row r="2" spans="1:21" x14ac:dyDescent="0.4">
      <c r="A2" s="1">
        <v>1</v>
      </c>
      <c r="B2" s="1">
        <v>16</v>
      </c>
      <c r="C2" s="1">
        <v>23</v>
      </c>
      <c r="D2" s="1">
        <v>23</v>
      </c>
      <c r="E2" s="1">
        <v>20</v>
      </c>
      <c r="F2" s="1">
        <v>18</v>
      </c>
      <c r="G2" s="1">
        <v>21</v>
      </c>
      <c r="H2" s="1">
        <v>20</v>
      </c>
      <c r="I2" s="1">
        <v>22</v>
      </c>
      <c r="J2" s="1">
        <v>25</v>
      </c>
      <c r="K2" s="1">
        <v>18</v>
      </c>
      <c r="L2" s="1">
        <v>22</v>
      </c>
      <c r="M2" s="1">
        <v>23</v>
      </c>
      <c r="N2" s="1">
        <v>22</v>
      </c>
      <c r="O2" s="1">
        <v>20</v>
      </c>
      <c r="P2" s="1">
        <v>18</v>
      </c>
      <c r="Q2" s="1">
        <v>17</v>
      </c>
      <c r="R2" s="1">
        <v>22</v>
      </c>
      <c r="S2" s="1">
        <v>21</v>
      </c>
      <c r="T2" s="1">
        <v>20</v>
      </c>
      <c r="U2" s="1">
        <v>23</v>
      </c>
    </row>
    <row r="3" spans="1:21" x14ac:dyDescent="0.4">
      <c r="A3" s="1">
        <v>2</v>
      </c>
      <c r="B3" s="1">
        <v>19</v>
      </c>
      <c r="C3" s="1">
        <v>25</v>
      </c>
      <c r="D3" s="1">
        <v>25</v>
      </c>
      <c r="E3" s="1">
        <v>22</v>
      </c>
      <c r="F3" s="1">
        <v>21</v>
      </c>
      <c r="G3" s="1">
        <v>23</v>
      </c>
      <c r="H3" s="1">
        <v>22</v>
      </c>
      <c r="I3" s="1">
        <v>24</v>
      </c>
      <c r="J3" s="1">
        <v>27</v>
      </c>
      <c r="K3" s="1">
        <v>20</v>
      </c>
      <c r="L3" s="1">
        <v>25</v>
      </c>
      <c r="M3" s="1">
        <v>25</v>
      </c>
      <c r="N3" s="1">
        <v>24</v>
      </c>
      <c r="O3" s="1">
        <v>23</v>
      </c>
      <c r="P3" s="1">
        <v>21</v>
      </c>
      <c r="Q3" s="1">
        <v>20</v>
      </c>
      <c r="R3" s="1">
        <v>25</v>
      </c>
      <c r="S3" s="1">
        <v>23</v>
      </c>
      <c r="T3" s="1">
        <v>22</v>
      </c>
      <c r="U3" s="1">
        <v>25</v>
      </c>
    </row>
    <row r="4" spans="1:21" x14ac:dyDescent="0.4">
      <c r="A4" s="1">
        <v>3</v>
      </c>
      <c r="B4" s="1">
        <v>22</v>
      </c>
      <c r="C4" s="1">
        <v>27</v>
      </c>
      <c r="D4" s="1">
        <v>28</v>
      </c>
      <c r="E4" s="1">
        <v>24</v>
      </c>
      <c r="F4" s="1">
        <v>23</v>
      </c>
      <c r="G4" s="1">
        <v>25</v>
      </c>
      <c r="H4" s="1">
        <v>23</v>
      </c>
      <c r="I4" s="1">
        <v>26</v>
      </c>
      <c r="J4" s="1">
        <v>30</v>
      </c>
      <c r="K4" s="1">
        <v>23</v>
      </c>
      <c r="L4" s="1">
        <v>27</v>
      </c>
      <c r="M4" s="1">
        <v>28</v>
      </c>
      <c r="N4" s="1">
        <v>27</v>
      </c>
      <c r="O4" s="1">
        <v>26</v>
      </c>
      <c r="P4" s="1">
        <v>23</v>
      </c>
      <c r="Q4" s="1">
        <v>22</v>
      </c>
      <c r="R4" s="1">
        <v>27</v>
      </c>
      <c r="S4" s="1">
        <v>26</v>
      </c>
      <c r="T4" s="1">
        <v>25</v>
      </c>
      <c r="U4" s="1">
        <v>26</v>
      </c>
    </row>
    <row r="5" spans="1:21" x14ac:dyDescent="0.4">
      <c r="A5" s="1">
        <v>4</v>
      </c>
      <c r="B5" s="1">
        <v>24</v>
      </c>
      <c r="C5" s="1">
        <v>29</v>
      </c>
      <c r="D5" s="1">
        <v>30</v>
      </c>
      <c r="E5" s="1">
        <v>27</v>
      </c>
      <c r="F5" s="1">
        <v>26</v>
      </c>
      <c r="G5" s="1">
        <v>26</v>
      </c>
      <c r="H5" s="1">
        <v>25</v>
      </c>
      <c r="I5" s="1">
        <v>29</v>
      </c>
      <c r="J5" s="1">
        <v>32</v>
      </c>
      <c r="K5" s="1">
        <v>25</v>
      </c>
      <c r="L5" s="1">
        <v>30</v>
      </c>
      <c r="M5" s="1">
        <v>30</v>
      </c>
      <c r="N5" s="1">
        <v>30</v>
      </c>
      <c r="O5" s="1">
        <v>29</v>
      </c>
      <c r="P5" s="1">
        <v>25</v>
      </c>
      <c r="Q5" s="1">
        <v>25</v>
      </c>
      <c r="R5" s="1">
        <v>30</v>
      </c>
      <c r="S5" s="1">
        <v>28</v>
      </c>
      <c r="T5" s="1">
        <v>27</v>
      </c>
      <c r="U5" s="1">
        <v>28</v>
      </c>
    </row>
    <row r="6" spans="1:21" x14ac:dyDescent="0.4">
      <c r="A6" s="1">
        <v>5</v>
      </c>
      <c r="B6" s="1">
        <v>27</v>
      </c>
      <c r="C6" s="1">
        <v>31</v>
      </c>
      <c r="D6" s="1">
        <v>32</v>
      </c>
      <c r="E6" s="1">
        <v>29</v>
      </c>
      <c r="F6" s="1">
        <v>28</v>
      </c>
      <c r="G6" s="1">
        <v>28</v>
      </c>
      <c r="H6" s="1">
        <v>27</v>
      </c>
      <c r="I6" s="1">
        <v>31</v>
      </c>
      <c r="J6" s="1">
        <v>35</v>
      </c>
      <c r="K6" s="1">
        <v>27</v>
      </c>
      <c r="L6" s="1">
        <v>32</v>
      </c>
      <c r="M6" s="1">
        <v>32</v>
      </c>
      <c r="N6" s="1">
        <v>32</v>
      </c>
      <c r="O6" s="1">
        <v>32</v>
      </c>
      <c r="P6" s="1">
        <v>28</v>
      </c>
      <c r="Q6" s="1">
        <v>28</v>
      </c>
      <c r="R6" s="1">
        <v>32</v>
      </c>
      <c r="S6" s="1">
        <v>30</v>
      </c>
      <c r="T6" s="1">
        <v>30</v>
      </c>
      <c r="U6" s="1">
        <v>30</v>
      </c>
    </row>
    <row r="7" spans="1:21" x14ac:dyDescent="0.4">
      <c r="A7" s="1">
        <v>6</v>
      </c>
      <c r="B7" s="1">
        <v>30</v>
      </c>
      <c r="C7" s="1">
        <v>33</v>
      </c>
      <c r="D7" s="1">
        <v>34</v>
      </c>
      <c r="E7" s="1">
        <v>31</v>
      </c>
      <c r="F7" s="1">
        <v>30</v>
      </c>
      <c r="G7" s="1">
        <v>30</v>
      </c>
      <c r="H7" s="1">
        <v>29</v>
      </c>
      <c r="I7" s="1">
        <v>33</v>
      </c>
      <c r="J7" s="1">
        <v>37</v>
      </c>
      <c r="K7" s="1">
        <v>30</v>
      </c>
      <c r="L7" s="1">
        <v>35</v>
      </c>
      <c r="M7" s="1">
        <v>34</v>
      </c>
      <c r="N7" s="1">
        <v>35</v>
      </c>
      <c r="O7" s="1">
        <v>35</v>
      </c>
      <c r="P7" s="1">
        <v>30</v>
      </c>
      <c r="Q7" s="1">
        <v>30</v>
      </c>
      <c r="R7" s="1">
        <v>35</v>
      </c>
      <c r="S7" s="1">
        <v>32</v>
      </c>
      <c r="T7" s="1">
        <v>33</v>
      </c>
      <c r="U7" s="1">
        <v>32</v>
      </c>
    </row>
    <row r="8" spans="1:21" x14ac:dyDescent="0.4">
      <c r="A8" s="1">
        <v>7</v>
      </c>
      <c r="B8" s="1">
        <v>32</v>
      </c>
      <c r="C8" s="1">
        <v>35</v>
      </c>
      <c r="D8" s="1">
        <v>36</v>
      </c>
      <c r="E8" s="1">
        <v>34</v>
      </c>
      <c r="F8" s="1">
        <v>33</v>
      </c>
      <c r="G8" s="1">
        <v>33</v>
      </c>
      <c r="H8" s="1">
        <v>31</v>
      </c>
      <c r="I8" s="1">
        <v>35</v>
      </c>
      <c r="J8" s="1">
        <v>40</v>
      </c>
      <c r="K8" s="1">
        <v>32</v>
      </c>
      <c r="L8" s="1">
        <v>37</v>
      </c>
      <c r="M8" s="1">
        <v>36</v>
      </c>
      <c r="N8" s="1">
        <v>37</v>
      </c>
      <c r="O8" s="1">
        <v>38</v>
      </c>
      <c r="P8" s="1">
        <v>32</v>
      </c>
      <c r="Q8" s="1">
        <v>33</v>
      </c>
      <c r="R8" s="1">
        <v>37</v>
      </c>
      <c r="S8" s="1">
        <v>35</v>
      </c>
      <c r="T8" s="1">
        <v>35</v>
      </c>
      <c r="U8" s="1">
        <v>34</v>
      </c>
    </row>
    <row r="9" spans="1:21" x14ac:dyDescent="0.4">
      <c r="A9" s="1">
        <v>8</v>
      </c>
      <c r="B9" s="1">
        <v>35</v>
      </c>
      <c r="C9" s="1">
        <v>37</v>
      </c>
      <c r="D9" s="1">
        <v>39</v>
      </c>
      <c r="E9" s="1">
        <v>36</v>
      </c>
      <c r="F9" s="1">
        <v>35</v>
      </c>
      <c r="G9" s="1">
        <v>35</v>
      </c>
      <c r="H9" s="1">
        <v>32</v>
      </c>
      <c r="I9" s="1">
        <v>37</v>
      </c>
      <c r="J9" s="1">
        <v>43</v>
      </c>
      <c r="K9" s="1">
        <v>35</v>
      </c>
      <c r="L9" s="1">
        <v>40</v>
      </c>
      <c r="M9" s="1">
        <v>38</v>
      </c>
      <c r="N9" s="1">
        <v>40</v>
      </c>
      <c r="O9" s="1">
        <v>40</v>
      </c>
      <c r="P9" s="1">
        <v>35</v>
      </c>
      <c r="Q9" s="1">
        <v>36</v>
      </c>
      <c r="R9" s="1">
        <v>40</v>
      </c>
      <c r="S9" s="1">
        <v>37</v>
      </c>
      <c r="T9" s="1">
        <v>38</v>
      </c>
      <c r="U9" s="1">
        <v>35</v>
      </c>
    </row>
    <row r="10" spans="1:21" x14ac:dyDescent="0.4">
      <c r="A10" s="1">
        <v>9</v>
      </c>
      <c r="B10" s="1">
        <v>38</v>
      </c>
      <c r="C10" s="1">
        <v>39</v>
      </c>
      <c r="D10" s="1">
        <v>41</v>
      </c>
      <c r="E10" s="1">
        <v>38</v>
      </c>
      <c r="F10" s="1">
        <v>38</v>
      </c>
      <c r="G10" s="1">
        <v>37</v>
      </c>
      <c r="H10" s="1">
        <v>34</v>
      </c>
      <c r="I10" s="1">
        <v>40</v>
      </c>
      <c r="J10" s="1">
        <v>45</v>
      </c>
      <c r="K10" s="1">
        <v>37</v>
      </c>
      <c r="L10" s="1">
        <v>42</v>
      </c>
      <c r="M10" s="1">
        <v>40</v>
      </c>
      <c r="N10" s="1">
        <v>42</v>
      </c>
      <c r="O10" s="1">
        <v>43</v>
      </c>
      <c r="P10" s="1">
        <v>37</v>
      </c>
      <c r="Q10" s="1">
        <v>38</v>
      </c>
      <c r="R10" s="1">
        <v>42</v>
      </c>
      <c r="S10" s="1">
        <v>39</v>
      </c>
      <c r="T10" s="1">
        <v>40</v>
      </c>
      <c r="U10" s="1">
        <v>37</v>
      </c>
    </row>
    <row r="11" spans="1:21" x14ac:dyDescent="0.4">
      <c r="A11" s="1">
        <v>10</v>
      </c>
      <c r="B11" s="1">
        <v>51</v>
      </c>
      <c r="C11" s="1">
        <v>51</v>
      </c>
      <c r="D11" s="1">
        <v>51</v>
      </c>
      <c r="E11" s="1">
        <v>51</v>
      </c>
      <c r="F11" s="1">
        <v>51</v>
      </c>
      <c r="G11" s="1">
        <v>51</v>
      </c>
      <c r="H11" s="1">
        <v>51</v>
      </c>
      <c r="I11" s="1">
        <v>51</v>
      </c>
      <c r="J11" s="1">
        <v>51</v>
      </c>
      <c r="K11" s="1">
        <v>51</v>
      </c>
      <c r="L11" s="1">
        <v>51</v>
      </c>
      <c r="M11" s="1">
        <v>51</v>
      </c>
      <c r="N11" s="1">
        <v>51</v>
      </c>
      <c r="O11" s="1">
        <v>51</v>
      </c>
      <c r="P11" s="1">
        <v>51</v>
      </c>
      <c r="Q11" s="1">
        <v>51</v>
      </c>
      <c r="R11" s="1">
        <v>51</v>
      </c>
      <c r="S11" s="1">
        <v>51</v>
      </c>
      <c r="T11" s="1">
        <v>51</v>
      </c>
      <c r="U11" s="1">
        <v>51</v>
      </c>
    </row>
    <row r="12" spans="1:21" x14ac:dyDescent="0.4">
      <c r="B12" s="1">
        <f>COUNTIF(B2:B11,"&lt;="&amp;B13)+1</f>
        <v>5</v>
      </c>
      <c r="C12" s="1">
        <f>COUNTIF(C2:C11,"&lt;="&amp;C13)+1</f>
        <v>2</v>
      </c>
      <c r="D12" s="1">
        <f t="shared" ref="D12:U12" si="0">COUNTIF(D2:D11,"&lt;="&amp;D13)+1</f>
        <v>2</v>
      </c>
      <c r="E12" s="1">
        <f t="shared" si="0"/>
        <v>4</v>
      </c>
      <c r="F12" s="1">
        <f t="shared" si="0"/>
        <v>3</v>
      </c>
      <c r="G12" s="1">
        <f t="shared" si="0"/>
        <v>1</v>
      </c>
      <c r="H12" s="1">
        <f t="shared" si="0"/>
        <v>1</v>
      </c>
      <c r="I12" s="1">
        <f t="shared" si="0"/>
        <v>2</v>
      </c>
      <c r="J12" s="1">
        <f t="shared" si="0"/>
        <v>3</v>
      </c>
      <c r="K12" s="1">
        <f t="shared" si="0"/>
        <v>4</v>
      </c>
      <c r="L12" s="1">
        <f t="shared" si="0"/>
        <v>3</v>
      </c>
      <c r="M12" s="1">
        <f t="shared" si="0"/>
        <v>1</v>
      </c>
      <c r="N12" s="1">
        <f t="shared" si="0"/>
        <v>1</v>
      </c>
      <c r="O12" s="1">
        <f t="shared" si="0"/>
        <v>1</v>
      </c>
      <c r="P12" s="1">
        <f t="shared" si="0"/>
        <v>2</v>
      </c>
      <c r="Q12" s="1">
        <f t="shared" si="0"/>
        <v>1</v>
      </c>
      <c r="R12" s="1">
        <f t="shared" si="0"/>
        <v>4</v>
      </c>
      <c r="S12" s="1">
        <f t="shared" si="0"/>
        <v>2</v>
      </c>
      <c r="T12" s="1">
        <f t="shared" si="0"/>
        <v>3</v>
      </c>
      <c r="U12" s="1">
        <f t="shared" si="0"/>
        <v>9</v>
      </c>
    </row>
    <row r="13" spans="1:21" x14ac:dyDescent="0.4">
      <c r="B13" s="1">
        <f>결과지_1!C7</f>
        <v>25</v>
      </c>
      <c r="C13" s="1">
        <f>결과지_1!D7</f>
        <v>23</v>
      </c>
      <c r="D13" s="1">
        <f>결과지_1!E7</f>
        <v>24</v>
      </c>
      <c r="E13" s="1">
        <f>결과지_1!F7</f>
        <v>25</v>
      </c>
      <c r="F13" s="1">
        <f>결과지_1!G7</f>
        <v>22</v>
      </c>
      <c r="G13" s="1">
        <f>결과지_1!H7</f>
        <v>20</v>
      </c>
      <c r="H13" s="1">
        <f>결과지_1!I7</f>
        <v>16</v>
      </c>
      <c r="I13" s="1">
        <f>결과지_1!J7</f>
        <v>23</v>
      </c>
      <c r="J13" s="1">
        <f>결과지_1!K7</f>
        <v>28</v>
      </c>
      <c r="K13" s="1">
        <f>결과지_1!L7</f>
        <v>23</v>
      </c>
      <c r="L13" s="1">
        <f>결과지_1!M7</f>
        <v>26</v>
      </c>
      <c r="M13" s="1">
        <f>결과지_1!N7</f>
        <v>18</v>
      </c>
      <c r="N13" s="1">
        <f>결과지_1!O7</f>
        <v>17</v>
      </c>
      <c r="O13" s="1">
        <f>결과지_1!P7</f>
        <v>15</v>
      </c>
      <c r="P13" s="1">
        <f>결과지_1!Q7</f>
        <v>19</v>
      </c>
      <c r="Q13" s="1">
        <f>결과지_1!R7</f>
        <v>16</v>
      </c>
      <c r="R13" s="1">
        <f>결과지_1!S7</f>
        <v>27</v>
      </c>
      <c r="S13" s="1">
        <f>결과지_1!T7</f>
        <v>22</v>
      </c>
      <c r="T13" s="1">
        <f>결과지_1!U7</f>
        <v>24</v>
      </c>
      <c r="U13" s="1">
        <f>결과지_1!V7</f>
        <v>36</v>
      </c>
    </row>
  </sheetData>
  <phoneticPr fontId="2" type="noConversion"/>
  <conditionalFormatting sqref="A1:XF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2CCE5-D23B-4100-A4E1-5C2D8FE839B9}">
  <dimension ref="A1:U13"/>
  <sheetViews>
    <sheetView topLeftCell="B1" workbookViewId="0">
      <selection activeCell="K19" sqref="K19"/>
    </sheetView>
  </sheetViews>
  <sheetFormatPr defaultColWidth="8.8984375" defaultRowHeight="17.399999999999999" x14ac:dyDescent="0.4"/>
  <cols>
    <col min="1" max="1" width="18.296875" style="1" customWidth="1"/>
    <col min="2" max="16384" width="8.8984375" style="1"/>
  </cols>
  <sheetData>
    <row r="1" spans="1:21" x14ac:dyDescent="0.4">
      <c r="A1" s="1" t="s">
        <v>39</v>
      </c>
      <c r="B1" s="1" t="s">
        <v>8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</row>
    <row r="2" spans="1:21" x14ac:dyDescent="0.4">
      <c r="A2" s="1">
        <v>1</v>
      </c>
      <c r="B2" s="1">
        <v>16</v>
      </c>
      <c r="C2" s="1">
        <v>22</v>
      </c>
      <c r="D2" s="1">
        <v>23</v>
      </c>
      <c r="E2" s="1">
        <v>18</v>
      </c>
      <c r="F2" s="1">
        <v>17</v>
      </c>
      <c r="G2" s="1">
        <v>18</v>
      </c>
      <c r="H2" s="1">
        <v>18</v>
      </c>
      <c r="I2" s="1">
        <v>23</v>
      </c>
      <c r="J2" s="1">
        <v>25</v>
      </c>
      <c r="K2" s="1">
        <v>17</v>
      </c>
      <c r="L2" s="1">
        <v>22</v>
      </c>
      <c r="M2" s="1">
        <v>25</v>
      </c>
      <c r="N2" s="1">
        <v>19</v>
      </c>
      <c r="O2" s="1">
        <v>16</v>
      </c>
      <c r="P2" s="1">
        <v>16</v>
      </c>
      <c r="Q2" s="1">
        <v>16</v>
      </c>
      <c r="R2" s="1">
        <v>22</v>
      </c>
      <c r="S2" s="1">
        <v>20</v>
      </c>
      <c r="T2" s="1">
        <v>20</v>
      </c>
      <c r="U2" s="1">
        <v>22</v>
      </c>
    </row>
    <row r="3" spans="1:21" x14ac:dyDescent="0.4">
      <c r="A3" s="1">
        <v>2</v>
      </c>
      <c r="B3" s="1">
        <v>19</v>
      </c>
      <c r="C3" s="1">
        <v>25</v>
      </c>
      <c r="D3" s="1">
        <v>25</v>
      </c>
      <c r="E3" s="1">
        <v>21</v>
      </c>
      <c r="F3" s="1">
        <v>20</v>
      </c>
      <c r="G3" s="1">
        <v>20</v>
      </c>
      <c r="H3" s="1">
        <v>20</v>
      </c>
      <c r="I3" s="1">
        <v>25</v>
      </c>
      <c r="J3" s="1">
        <v>27</v>
      </c>
      <c r="K3" s="1">
        <v>19</v>
      </c>
      <c r="L3" s="1">
        <v>25</v>
      </c>
      <c r="M3" s="1">
        <v>27</v>
      </c>
      <c r="N3" s="1">
        <v>22</v>
      </c>
      <c r="O3" s="1">
        <v>19</v>
      </c>
      <c r="P3" s="1">
        <v>19</v>
      </c>
      <c r="Q3" s="1">
        <v>19</v>
      </c>
      <c r="R3" s="1">
        <v>25</v>
      </c>
      <c r="S3" s="1">
        <v>23</v>
      </c>
      <c r="T3" s="1">
        <v>23</v>
      </c>
      <c r="U3" s="1">
        <v>24</v>
      </c>
    </row>
    <row r="4" spans="1:21" x14ac:dyDescent="0.4">
      <c r="A4" s="1">
        <v>3</v>
      </c>
      <c r="B4" s="1">
        <v>21</v>
      </c>
      <c r="C4" s="1">
        <v>27</v>
      </c>
      <c r="D4" s="1">
        <v>27</v>
      </c>
      <c r="E4" s="1">
        <v>23</v>
      </c>
      <c r="F4" s="1">
        <v>22</v>
      </c>
      <c r="G4" s="1">
        <v>22</v>
      </c>
      <c r="H4" s="1">
        <v>22</v>
      </c>
      <c r="I4" s="1">
        <v>27</v>
      </c>
      <c r="J4" s="1">
        <v>29</v>
      </c>
      <c r="K4" s="1">
        <v>22</v>
      </c>
      <c r="L4" s="1">
        <v>27</v>
      </c>
      <c r="M4" s="1">
        <v>29</v>
      </c>
      <c r="N4" s="1">
        <v>24</v>
      </c>
      <c r="O4" s="1">
        <v>22</v>
      </c>
      <c r="P4" s="1">
        <v>21</v>
      </c>
      <c r="Q4" s="1">
        <v>22</v>
      </c>
      <c r="R4" s="1">
        <v>28</v>
      </c>
      <c r="S4" s="1">
        <v>25</v>
      </c>
      <c r="T4" s="1">
        <v>25</v>
      </c>
      <c r="U4" s="1">
        <v>26</v>
      </c>
    </row>
    <row r="5" spans="1:21" x14ac:dyDescent="0.4">
      <c r="A5" s="1">
        <v>4</v>
      </c>
      <c r="B5" s="1">
        <v>24</v>
      </c>
      <c r="C5" s="1">
        <v>29</v>
      </c>
      <c r="D5" s="1">
        <v>29</v>
      </c>
      <c r="E5" s="1">
        <v>26</v>
      </c>
      <c r="F5" s="1">
        <v>25</v>
      </c>
      <c r="G5" s="1">
        <v>25</v>
      </c>
      <c r="H5" s="1">
        <v>25</v>
      </c>
      <c r="I5" s="1">
        <v>29</v>
      </c>
      <c r="J5" s="1">
        <v>32</v>
      </c>
      <c r="K5" s="1">
        <v>24</v>
      </c>
      <c r="L5" s="1">
        <v>30</v>
      </c>
      <c r="M5" s="1">
        <v>31</v>
      </c>
      <c r="N5" s="1">
        <v>27</v>
      </c>
      <c r="O5" s="1">
        <v>25</v>
      </c>
      <c r="P5" s="1">
        <v>23</v>
      </c>
      <c r="Q5" s="1">
        <v>25</v>
      </c>
      <c r="R5" s="1">
        <v>30</v>
      </c>
      <c r="S5" s="1">
        <v>27</v>
      </c>
      <c r="T5" s="1">
        <v>28</v>
      </c>
      <c r="U5" s="1">
        <v>28</v>
      </c>
    </row>
    <row r="6" spans="1:21" x14ac:dyDescent="0.4">
      <c r="A6" s="1">
        <v>5</v>
      </c>
      <c r="B6" s="1">
        <v>27</v>
      </c>
      <c r="C6" s="1">
        <v>31</v>
      </c>
      <c r="D6" s="1">
        <v>31</v>
      </c>
      <c r="E6" s="1">
        <v>28</v>
      </c>
      <c r="F6" s="1">
        <v>27</v>
      </c>
      <c r="G6" s="1">
        <v>27</v>
      </c>
      <c r="H6" s="1">
        <v>27</v>
      </c>
      <c r="I6" s="1">
        <v>32</v>
      </c>
      <c r="J6" s="1">
        <v>34</v>
      </c>
      <c r="K6" s="1">
        <v>27</v>
      </c>
      <c r="L6" s="1">
        <v>32</v>
      </c>
      <c r="M6" s="1">
        <v>33</v>
      </c>
      <c r="N6" s="1">
        <v>30</v>
      </c>
      <c r="O6" s="1">
        <v>28</v>
      </c>
      <c r="P6" s="1">
        <v>26</v>
      </c>
      <c r="Q6" s="1">
        <v>28</v>
      </c>
      <c r="R6" s="1">
        <v>33</v>
      </c>
      <c r="S6" s="1">
        <v>30</v>
      </c>
      <c r="T6" s="1">
        <v>30</v>
      </c>
      <c r="U6" s="1">
        <v>31</v>
      </c>
    </row>
    <row r="7" spans="1:21" x14ac:dyDescent="0.4">
      <c r="A7" s="1">
        <v>6</v>
      </c>
      <c r="B7" s="1">
        <v>29</v>
      </c>
      <c r="C7" s="1">
        <v>34</v>
      </c>
      <c r="D7" s="1">
        <v>33</v>
      </c>
      <c r="E7" s="1">
        <v>31</v>
      </c>
      <c r="F7" s="1">
        <v>30</v>
      </c>
      <c r="G7" s="1">
        <v>29</v>
      </c>
      <c r="H7" s="1">
        <v>29</v>
      </c>
      <c r="I7" s="1">
        <v>34</v>
      </c>
      <c r="J7" s="1">
        <v>37</v>
      </c>
      <c r="K7" s="1">
        <v>30</v>
      </c>
      <c r="L7" s="1">
        <v>35</v>
      </c>
      <c r="M7" s="1">
        <v>35</v>
      </c>
      <c r="N7" s="1">
        <v>33</v>
      </c>
      <c r="O7" s="1">
        <v>31</v>
      </c>
      <c r="P7" s="1">
        <v>29</v>
      </c>
      <c r="Q7" s="1">
        <v>31</v>
      </c>
      <c r="R7" s="1">
        <v>36</v>
      </c>
      <c r="S7" s="1">
        <v>32</v>
      </c>
      <c r="T7" s="1">
        <v>33</v>
      </c>
      <c r="U7" s="1">
        <v>33</v>
      </c>
    </row>
    <row r="8" spans="1:21" x14ac:dyDescent="0.4">
      <c r="A8" s="1">
        <v>7</v>
      </c>
      <c r="B8" s="1">
        <v>32</v>
      </c>
      <c r="C8" s="1">
        <v>36</v>
      </c>
      <c r="D8" s="1">
        <v>35</v>
      </c>
      <c r="E8" s="1">
        <v>33</v>
      </c>
      <c r="F8" s="1">
        <v>32</v>
      </c>
      <c r="G8" s="1">
        <v>31</v>
      </c>
      <c r="H8" s="1">
        <v>31</v>
      </c>
      <c r="I8" s="1">
        <v>36</v>
      </c>
      <c r="J8" s="1">
        <v>39</v>
      </c>
      <c r="K8" s="1">
        <v>32</v>
      </c>
      <c r="L8" s="1">
        <v>38</v>
      </c>
      <c r="M8" s="1">
        <v>36</v>
      </c>
      <c r="N8" s="1">
        <v>35</v>
      </c>
      <c r="O8" s="1">
        <v>34</v>
      </c>
      <c r="P8" s="1">
        <v>31</v>
      </c>
      <c r="Q8" s="1">
        <v>34</v>
      </c>
      <c r="R8" s="1">
        <v>38</v>
      </c>
      <c r="S8" s="1">
        <v>34</v>
      </c>
      <c r="T8" s="1">
        <v>35</v>
      </c>
      <c r="U8" s="1">
        <v>35</v>
      </c>
    </row>
    <row r="9" spans="1:21" x14ac:dyDescent="0.4">
      <c r="A9" s="1">
        <v>8</v>
      </c>
      <c r="B9" s="1">
        <v>35</v>
      </c>
      <c r="C9" s="1">
        <v>38</v>
      </c>
      <c r="D9" s="1">
        <v>37</v>
      </c>
      <c r="E9" s="1">
        <v>36</v>
      </c>
      <c r="F9" s="1">
        <v>35</v>
      </c>
      <c r="G9" s="1">
        <v>33</v>
      </c>
      <c r="H9" s="1">
        <v>33</v>
      </c>
      <c r="I9" s="1">
        <v>38</v>
      </c>
      <c r="J9" s="1">
        <v>41</v>
      </c>
      <c r="K9" s="1">
        <v>35</v>
      </c>
      <c r="L9" s="1">
        <v>40</v>
      </c>
      <c r="M9" s="1">
        <v>38</v>
      </c>
      <c r="N9" s="1">
        <v>38</v>
      </c>
      <c r="O9" s="1">
        <v>37</v>
      </c>
      <c r="P9" s="1">
        <v>34</v>
      </c>
      <c r="Q9" s="1">
        <v>37</v>
      </c>
      <c r="R9" s="1">
        <v>41</v>
      </c>
      <c r="S9" s="1">
        <v>37</v>
      </c>
      <c r="T9" s="1">
        <v>38</v>
      </c>
      <c r="U9" s="1">
        <v>37</v>
      </c>
    </row>
    <row r="10" spans="1:21" x14ac:dyDescent="0.4">
      <c r="A10" s="1">
        <v>9</v>
      </c>
      <c r="B10" s="1">
        <v>37</v>
      </c>
      <c r="C10" s="1">
        <v>40</v>
      </c>
      <c r="D10" s="1">
        <v>39</v>
      </c>
      <c r="E10" s="1">
        <v>39</v>
      </c>
      <c r="F10" s="1">
        <v>37</v>
      </c>
      <c r="G10" s="1">
        <v>36</v>
      </c>
      <c r="H10" s="1">
        <v>35</v>
      </c>
      <c r="I10" s="1">
        <v>41</v>
      </c>
      <c r="J10" s="1">
        <v>43</v>
      </c>
      <c r="K10" s="1">
        <v>38</v>
      </c>
      <c r="L10" s="1">
        <v>43</v>
      </c>
      <c r="M10" s="1">
        <v>40</v>
      </c>
      <c r="N10" s="1">
        <v>41</v>
      </c>
      <c r="O10" s="1">
        <v>40</v>
      </c>
      <c r="P10" s="1">
        <v>36</v>
      </c>
      <c r="Q10" s="1">
        <v>40</v>
      </c>
      <c r="R10" s="1">
        <v>43</v>
      </c>
      <c r="S10" s="1">
        <v>39</v>
      </c>
      <c r="T10" s="1">
        <v>40</v>
      </c>
      <c r="U10" s="1">
        <v>39</v>
      </c>
    </row>
    <row r="11" spans="1:21" x14ac:dyDescent="0.4">
      <c r="A11" s="1">
        <v>10</v>
      </c>
      <c r="B11" s="1">
        <v>51</v>
      </c>
      <c r="C11" s="1">
        <v>51</v>
      </c>
      <c r="D11" s="1">
        <v>51</v>
      </c>
      <c r="E11" s="1">
        <v>51</v>
      </c>
      <c r="F11" s="1">
        <v>51</v>
      </c>
      <c r="G11" s="1">
        <v>51</v>
      </c>
      <c r="H11" s="1">
        <v>51</v>
      </c>
      <c r="I11" s="1">
        <v>51</v>
      </c>
      <c r="J11" s="1">
        <v>51</v>
      </c>
      <c r="K11" s="1">
        <v>51</v>
      </c>
      <c r="L11" s="1">
        <v>51</v>
      </c>
      <c r="M11" s="1">
        <v>51</v>
      </c>
      <c r="N11" s="1">
        <v>51</v>
      </c>
      <c r="O11" s="1">
        <v>51</v>
      </c>
      <c r="P11" s="1">
        <v>51</v>
      </c>
      <c r="Q11" s="1">
        <v>51</v>
      </c>
      <c r="R11" s="1">
        <v>51</v>
      </c>
      <c r="S11" s="1">
        <v>51</v>
      </c>
      <c r="T11" s="1">
        <v>51</v>
      </c>
      <c r="U11" s="1">
        <v>51</v>
      </c>
    </row>
    <row r="12" spans="1:21" x14ac:dyDescent="0.4">
      <c r="B12" s="1">
        <f t="shared" ref="B12:U12" si="0">COUNTIF(B2:B11,"&lt;="&amp;B13)+1</f>
        <v>5</v>
      </c>
      <c r="C12" s="1">
        <f t="shared" si="0"/>
        <v>2</v>
      </c>
      <c r="D12" s="1">
        <f t="shared" si="0"/>
        <v>2</v>
      </c>
      <c r="E12" s="1">
        <f t="shared" si="0"/>
        <v>4</v>
      </c>
      <c r="F12" s="1">
        <f t="shared" si="0"/>
        <v>4</v>
      </c>
      <c r="G12" s="1">
        <f t="shared" si="0"/>
        <v>3</v>
      </c>
      <c r="H12" s="1">
        <f t="shared" si="0"/>
        <v>1</v>
      </c>
      <c r="I12" s="1">
        <f t="shared" si="0"/>
        <v>2</v>
      </c>
      <c r="J12" s="1">
        <f t="shared" si="0"/>
        <v>3</v>
      </c>
      <c r="K12" s="1">
        <f t="shared" si="0"/>
        <v>4</v>
      </c>
      <c r="L12" s="1">
        <f t="shared" si="0"/>
        <v>3</v>
      </c>
      <c r="M12" s="1">
        <f t="shared" si="0"/>
        <v>1</v>
      </c>
      <c r="N12" s="1">
        <f t="shared" si="0"/>
        <v>1</v>
      </c>
      <c r="O12" s="1">
        <f t="shared" si="0"/>
        <v>1</v>
      </c>
      <c r="P12" s="1">
        <f t="shared" si="0"/>
        <v>3</v>
      </c>
      <c r="Q12" s="1">
        <f t="shared" si="0"/>
        <v>2</v>
      </c>
      <c r="R12" s="1">
        <f t="shared" si="0"/>
        <v>3</v>
      </c>
      <c r="S12" s="1">
        <f t="shared" si="0"/>
        <v>2</v>
      </c>
      <c r="T12" s="1">
        <f t="shared" si="0"/>
        <v>3</v>
      </c>
      <c r="U12" s="1">
        <f t="shared" si="0"/>
        <v>8</v>
      </c>
    </row>
    <row r="13" spans="1:21" x14ac:dyDescent="0.4">
      <c r="B13" s="1">
        <f>결과지_1!C7</f>
        <v>25</v>
      </c>
      <c r="C13" s="1">
        <f>결과지_1!D7</f>
        <v>23</v>
      </c>
      <c r="D13" s="1">
        <f>결과지_1!E7</f>
        <v>24</v>
      </c>
      <c r="E13" s="1">
        <f>결과지_1!F7</f>
        <v>25</v>
      </c>
      <c r="F13" s="1">
        <f>결과지_1!G7</f>
        <v>22</v>
      </c>
      <c r="G13" s="1">
        <f>결과지_1!H7</f>
        <v>20</v>
      </c>
      <c r="H13" s="1">
        <f>결과지_1!I7</f>
        <v>16</v>
      </c>
      <c r="I13" s="1">
        <f>결과지_1!J7</f>
        <v>23</v>
      </c>
      <c r="J13" s="1">
        <f>결과지_1!K7</f>
        <v>28</v>
      </c>
      <c r="K13" s="1">
        <f>결과지_1!L7</f>
        <v>23</v>
      </c>
      <c r="L13" s="1">
        <f>결과지_1!M7</f>
        <v>26</v>
      </c>
      <c r="M13" s="1">
        <f>결과지_1!N7</f>
        <v>18</v>
      </c>
      <c r="N13" s="1">
        <f>결과지_1!O7</f>
        <v>17</v>
      </c>
      <c r="O13" s="1">
        <f>결과지_1!P7</f>
        <v>15</v>
      </c>
      <c r="P13" s="1">
        <f>결과지_1!Q7</f>
        <v>19</v>
      </c>
      <c r="Q13" s="1">
        <f>결과지_1!R7</f>
        <v>16</v>
      </c>
      <c r="R13" s="1">
        <f>결과지_1!S7</f>
        <v>27</v>
      </c>
      <c r="S13" s="1">
        <f>결과지_1!T7</f>
        <v>22</v>
      </c>
      <c r="T13" s="1">
        <f>결과지_1!U7</f>
        <v>24</v>
      </c>
      <c r="U13" s="1">
        <f>결과지_1!V7</f>
        <v>36</v>
      </c>
    </row>
  </sheetData>
  <phoneticPr fontId="2" type="noConversion"/>
  <conditionalFormatting sqref="A1:XFD1">
    <cfRule type="colorScale" priority="2">
      <colorScale>
        <cfvo type="min"/>
        <cfvo type="max"/>
        <color rgb="FFFFEF9C"/>
        <color rgb="FF63BE7B"/>
      </colorScale>
    </cfRule>
  </conditionalFormatting>
  <conditionalFormatting sqref="A1:XF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109E1-3736-41A2-8CE4-144120D9BE93}">
  <dimension ref="A1:U13"/>
  <sheetViews>
    <sheetView workbookViewId="0">
      <selection activeCell="M13" sqref="M13"/>
    </sheetView>
  </sheetViews>
  <sheetFormatPr defaultColWidth="8.8984375" defaultRowHeight="17.399999999999999" x14ac:dyDescent="0.4"/>
  <cols>
    <col min="1" max="1" width="18.296875" style="1" customWidth="1"/>
    <col min="2" max="16384" width="8.8984375" style="1"/>
  </cols>
  <sheetData>
    <row r="1" spans="1:21" x14ac:dyDescent="0.4">
      <c r="A1" s="1" t="s">
        <v>40</v>
      </c>
      <c r="B1" s="1" t="s">
        <v>8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</row>
    <row r="2" spans="1:21" x14ac:dyDescent="0.4">
      <c r="A2" s="1">
        <v>1</v>
      </c>
      <c r="B2" s="1">
        <v>17</v>
      </c>
      <c r="C2" s="1">
        <v>22</v>
      </c>
      <c r="D2" s="1">
        <v>22</v>
      </c>
      <c r="E2" s="1">
        <v>18</v>
      </c>
      <c r="F2" s="1">
        <v>17</v>
      </c>
      <c r="G2" s="1">
        <v>18</v>
      </c>
      <c r="H2" s="1">
        <v>19</v>
      </c>
      <c r="I2" s="1">
        <v>21</v>
      </c>
      <c r="J2" s="1">
        <v>25</v>
      </c>
      <c r="K2" s="1">
        <v>17</v>
      </c>
      <c r="L2" s="1">
        <v>21</v>
      </c>
      <c r="M2" s="1">
        <v>23</v>
      </c>
      <c r="N2" s="1">
        <v>21</v>
      </c>
      <c r="O2" s="1">
        <v>21</v>
      </c>
      <c r="P2" s="1">
        <v>16</v>
      </c>
      <c r="Q2" s="1">
        <v>17</v>
      </c>
      <c r="R2" s="1">
        <v>22</v>
      </c>
      <c r="S2" s="1">
        <v>21</v>
      </c>
      <c r="T2" s="1">
        <v>19</v>
      </c>
      <c r="U2" s="1">
        <v>23</v>
      </c>
    </row>
    <row r="3" spans="1:21" x14ac:dyDescent="0.4">
      <c r="A3" s="1">
        <v>2</v>
      </c>
      <c r="B3" s="1">
        <v>20</v>
      </c>
      <c r="C3" s="1">
        <v>24</v>
      </c>
      <c r="D3" s="1">
        <v>24</v>
      </c>
      <c r="E3" s="1">
        <v>20</v>
      </c>
      <c r="F3" s="1">
        <v>19</v>
      </c>
      <c r="G3" s="1">
        <v>20</v>
      </c>
      <c r="H3" s="1">
        <v>21</v>
      </c>
      <c r="I3" s="1">
        <v>23</v>
      </c>
      <c r="J3" s="1">
        <v>27</v>
      </c>
      <c r="K3" s="1">
        <v>20</v>
      </c>
      <c r="L3" s="1">
        <v>23</v>
      </c>
      <c r="M3" s="1">
        <v>26</v>
      </c>
      <c r="N3" s="1">
        <v>24</v>
      </c>
      <c r="O3" s="1">
        <v>24</v>
      </c>
      <c r="P3" s="1">
        <v>19</v>
      </c>
      <c r="Q3" s="1">
        <v>19</v>
      </c>
      <c r="R3" s="1">
        <v>24</v>
      </c>
      <c r="S3" s="1">
        <v>23</v>
      </c>
      <c r="T3" s="1">
        <v>22</v>
      </c>
      <c r="U3" s="1">
        <v>25</v>
      </c>
    </row>
    <row r="4" spans="1:21" x14ac:dyDescent="0.4">
      <c r="A4" s="1">
        <v>3</v>
      </c>
      <c r="B4" s="1">
        <v>22</v>
      </c>
      <c r="C4" s="1">
        <v>27</v>
      </c>
      <c r="D4" s="1">
        <v>26</v>
      </c>
      <c r="E4" s="1">
        <v>22</v>
      </c>
      <c r="F4" s="1">
        <v>22</v>
      </c>
      <c r="G4" s="1">
        <v>23</v>
      </c>
      <c r="H4" s="1">
        <v>24</v>
      </c>
      <c r="I4" s="1">
        <v>26</v>
      </c>
      <c r="J4" s="1">
        <v>30</v>
      </c>
      <c r="K4" s="1">
        <v>22</v>
      </c>
      <c r="L4" s="1">
        <v>26</v>
      </c>
      <c r="M4" s="1">
        <v>28</v>
      </c>
      <c r="N4" s="1">
        <v>26</v>
      </c>
      <c r="O4" s="1">
        <v>26</v>
      </c>
      <c r="P4" s="1">
        <v>21</v>
      </c>
      <c r="Q4" s="1">
        <v>22</v>
      </c>
      <c r="R4" s="1">
        <v>27</v>
      </c>
      <c r="S4" s="1">
        <v>25</v>
      </c>
      <c r="T4" s="1">
        <v>24</v>
      </c>
      <c r="U4" s="1">
        <v>27</v>
      </c>
    </row>
    <row r="5" spans="1:21" x14ac:dyDescent="0.4">
      <c r="A5" s="1">
        <v>4</v>
      </c>
      <c r="B5" s="1">
        <v>25</v>
      </c>
      <c r="C5" s="1">
        <v>29</v>
      </c>
      <c r="D5" s="1">
        <v>28</v>
      </c>
      <c r="E5" s="1">
        <v>25</v>
      </c>
      <c r="F5" s="1">
        <v>24</v>
      </c>
      <c r="G5" s="1">
        <v>25</v>
      </c>
      <c r="H5" s="1">
        <v>26</v>
      </c>
      <c r="I5" s="1">
        <v>28</v>
      </c>
      <c r="J5" s="1">
        <v>32</v>
      </c>
      <c r="K5" s="1">
        <v>25</v>
      </c>
      <c r="L5" s="1">
        <v>29</v>
      </c>
      <c r="M5" s="1">
        <v>30</v>
      </c>
      <c r="N5" s="1">
        <v>29</v>
      </c>
      <c r="O5" s="1">
        <v>29</v>
      </c>
      <c r="P5" s="1">
        <v>24</v>
      </c>
      <c r="Q5" s="1">
        <v>24</v>
      </c>
      <c r="R5" s="1">
        <v>30</v>
      </c>
      <c r="S5" s="1">
        <v>27</v>
      </c>
      <c r="T5" s="1">
        <v>27</v>
      </c>
      <c r="U5" s="1">
        <v>29</v>
      </c>
    </row>
    <row r="6" spans="1:21" x14ac:dyDescent="0.4">
      <c r="A6" s="1">
        <v>5</v>
      </c>
      <c r="B6" s="1">
        <v>27</v>
      </c>
      <c r="C6" s="1">
        <v>31</v>
      </c>
      <c r="D6" s="1">
        <v>30</v>
      </c>
      <c r="E6" s="1">
        <v>27</v>
      </c>
      <c r="F6" s="1">
        <v>27</v>
      </c>
      <c r="G6" s="1">
        <v>27</v>
      </c>
      <c r="H6" s="1">
        <v>28</v>
      </c>
      <c r="I6" s="1">
        <v>31</v>
      </c>
      <c r="J6" s="1">
        <v>35</v>
      </c>
      <c r="K6" s="1">
        <v>27</v>
      </c>
      <c r="L6" s="1">
        <v>31</v>
      </c>
      <c r="M6" s="1">
        <v>32</v>
      </c>
      <c r="N6" s="1">
        <v>31</v>
      </c>
      <c r="O6" s="1">
        <v>32</v>
      </c>
      <c r="P6" s="1">
        <v>27</v>
      </c>
      <c r="Q6" s="1">
        <v>26</v>
      </c>
      <c r="R6" s="1">
        <v>32</v>
      </c>
      <c r="S6" s="1">
        <v>29</v>
      </c>
      <c r="T6" s="1">
        <v>29</v>
      </c>
      <c r="U6" s="1">
        <v>31</v>
      </c>
    </row>
    <row r="7" spans="1:21" x14ac:dyDescent="0.4">
      <c r="A7" s="1">
        <v>6</v>
      </c>
      <c r="B7" s="1">
        <v>30</v>
      </c>
      <c r="C7" s="1">
        <v>33</v>
      </c>
      <c r="D7" s="1">
        <v>32</v>
      </c>
      <c r="E7" s="1">
        <v>29</v>
      </c>
      <c r="F7" s="1">
        <v>30</v>
      </c>
      <c r="G7" s="1">
        <v>29</v>
      </c>
      <c r="H7" s="1">
        <v>31</v>
      </c>
      <c r="I7" s="1">
        <v>33</v>
      </c>
      <c r="J7" s="1">
        <v>38</v>
      </c>
      <c r="K7" s="1">
        <v>30</v>
      </c>
      <c r="L7" s="1">
        <v>34</v>
      </c>
      <c r="M7" s="1">
        <v>35</v>
      </c>
      <c r="N7" s="1">
        <v>34</v>
      </c>
      <c r="O7" s="1">
        <v>35</v>
      </c>
      <c r="P7" s="1">
        <v>29</v>
      </c>
      <c r="Q7" s="1">
        <v>29</v>
      </c>
      <c r="R7" s="1">
        <v>35</v>
      </c>
      <c r="S7" s="1">
        <v>32</v>
      </c>
      <c r="T7" s="1">
        <v>32</v>
      </c>
      <c r="U7" s="1">
        <v>32</v>
      </c>
    </row>
    <row r="8" spans="1:21" x14ac:dyDescent="0.4">
      <c r="A8" s="1">
        <v>7</v>
      </c>
      <c r="B8" s="1">
        <v>32</v>
      </c>
      <c r="C8" s="1">
        <v>35</v>
      </c>
      <c r="D8" s="1">
        <v>34</v>
      </c>
      <c r="E8" s="1">
        <v>31</v>
      </c>
      <c r="F8" s="1">
        <v>32</v>
      </c>
      <c r="G8" s="1">
        <v>32</v>
      </c>
      <c r="H8" s="1">
        <v>33</v>
      </c>
      <c r="I8" s="1">
        <v>36</v>
      </c>
      <c r="J8" s="1">
        <v>40</v>
      </c>
      <c r="K8" s="1">
        <v>32</v>
      </c>
      <c r="L8" s="1">
        <v>37</v>
      </c>
      <c r="M8" s="1">
        <v>37</v>
      </c>
      <c r="N8" s="1">
        <v>36</v>
      </c>
      <c r="O8" s="1">
        <v>38</v>
      </c>
      <c r="P8" s="1">
        <v>32</v>
      </c>
      <c r="Q8" s="1">
        <v>31</v>
      </c>
      <c r="R8" s="1">
        <v>37</v>
      </c>
      <c r="S8" s="1">
        <v>34</v>
      </c>
      <c r="T8" s="1">
        <v>35</v>
      </c>
      <c r="U8" s="1">
        <v>34</v>
      </c>
    </row>
    <row r="9" spans="1:21" x14ac:dyDescent="0.4">
      <c r="A9" s="1">
        <v>8</v>
      </c>
      <c r="B9" s="1">
        <v>34</v>
      </c>
      <c r="C9" s="1">
        <v>38</v>
      </c>
      <c r="D9" s="1">
        <v>36</v>
      </c>
      <c r="E9" s="1">
        <v>34</v>
      </c>
      <c r="F9" s="1">
        <v>35</v>
      </c>
      <c r="G9" s="1">
        <v>34</v>
      </c>
      <c r="H9" s="1">
        <v>35</v>
      </c>
      <c r="I9" s="1">
        <v>38</v>
      </c>
      <c r="J9" s="1">
        <v>43</v>
      </c>
      <c r="K9" s="1">
        <v>35</v>
      </c>
      <c r="L9" s="1">
        <v>40</v>
      </c>
      <c r="M9" s="1">
        <v>39</v>
      </c>
      <c r="N9" s="1">
        <v>39</v>
      </c>
      <c r="O9" s="1">
        <v>41</v>
      </c>
      <c r="P9" s="1">
        <v>34</v>
      </c>
      <c r="Q9" s="1">
        <v>34</v>
      </c>
      <c r="R9" s="1">
        <v>40</v>
      </c>
      <c r="S9" s="1">
        <v>36</v>
      </c>
      <c r="T9" s="1">
        <v>37</v>
      </c>
      <c r="U9" s="1">
        <v>36</v>
      </c>
    </row>
    <row r="10" spans="1:21" x14ac:dyDescent="0.4">
      <c r="A10" s="1">
        <v>9</v>
      </c>
      <c r="B10" s="1">
        <v>37</v>
      </c>
      <c r="C10" s="1">
        <v>40</v>
      </c>
      <c r="D10" s="1">
        <v>38</v>
      </c>
      <c r="E10" s="1">
        <v>36</v>
      </c>
      <c r="F10" s="1">
        <v>37</v>
      </c>
      <c r="G10" s="1">
        <v>36</v>
      </c>
      <c r="H10" s="1">
        <v>37</v>
      </c>
      <c r="I10" s="1">
        <v>40</v>
      </c>
      <c r="J10" s="1">
        <v>46</v>
      </c>
      <c r="K10" s="1">
        <v>37</v>
      </c>
      <c r="L10" s="1">
        <v>42</v>
      </c>
      <c r="M10" s="1">
        <v>41</v>
      </c>
      <c r="N10" s="1">
        <v>42</v>
      </c>
      <c r="O10" s="1">
        <v>44</v>
      </c>
      <c r="P10" s="1">
        <v>37</v>
      </c>
      <c r="Q10" s="1">
        <v>36</v>
      </c>
      <c r="R10" s="1">
        <v>42</v>
      </c>
      <c r="S10" s="1">
        <v>38</v>
      </c>
      <c r="T10" s="1">
        <v>39</v>
      </c>
      <c r="U10" s="1">
        <v>38</v>
      </c>
    </row>
    <row r="11" spans="1:21" x14ac:dyDescent="0.4">
      <c r="A11" s="1">
        <v>10</v>
      </c>
      <c r="B11" s="1">
        <v>51</v>
      </c>
      <c r="C11" s="1">
        <v>51</v>
      </c>
      <c r="D11" s="1">
        <v>51</v>
      </c>
      <c r="E11" s="1">
        <v>51</v>
      </c>
      <c r="F11" s="1">
        <v>51</v>
      </c>
      <c r="G11" s="1">
        <v>51</v>
      </c>
      <c r="H11" s="1">
        <v>51</v>
      </c>
      <c r="I11" s="1">
        <v>51</v>
      </c>
      <c r="J11" s="1">
        <v>51</v>
      </c>
      <c r="K11" s="1">
        <v>51</v>
      </c>
      <c r="L11" s="1">
        <v>51</v>
      </c>
      <c r="M11" s="1">
        <v>51</v>
      </c>
      <c r="N11" s="1">
        <v>51</v>
      </c>
      <c r="O11" s="1">
        <v>51</v>
      </c>
      <c r="P11" s="1">
        <v>51</v>
      </c>
      <c r="Q11" s="1">
        <v>51</v>
      </c>
      <c r="R11" s="1">
        <v>51</v>
      </c>
      <c r="S11" s="1">
        <v>51</v>
      </c>
      <c r="T11" s="1">
        <v>51</v>
      </c>
      <c r="U11" s="1">
        <v>51</v>
      </c>
    </row>
    <row r="12" spans="1:21" x14ac:dyDescent="0.4">
      <c r="B12" s="1">
        <f>COUNTIF(B2:B11,"&lt;="&amp;B13)+1</f>
        <v>5</v>
      </c>
      <c r="C12" s="1">
        <f>COUNTIF(C2:C11,"&lt;="&amp;C13)+1</f>
        <v>2</v>
      </c>
      <c r="D12" s="1">
        <f t="shared" ref="D12:U12" si="0">COUNTIF(D2:D11,"&lt;="&amp;D13)+1</f>
        <v>3</v>
      </c>
      <c r="E12" s="1">
        <f t="shared" si="0"/>
        <v>5</v>
      </c>
      <c r="F12" s="1">
        <f t="shared" si="0"/>
        <v>4</v>
      </c>
      <c r="G12" s="1">
        <f t="shared" si="0"/>
        <v>3</v>
      </c>
      <c r="H12" s="1">
        <f t="shared" si="0"/>
        <v>1</v>
      </c>
      <c r="I12" s="1">
        <f t="shared" si="0"/>
        <v>3</v>
      </c>
      <c r="J12" s="1">
        <f t="shared" si="0"/>
        <v>3</v>
      </c>
      <c r="K12" s="1">
        <f t="shared" si="0"/>
        <v>4</v>
      </c>
      <c r="L12" s="1">
        <f t="shared" si="0"/>
        <v>4</v>
      </c>
      <c r="M12" s="1">
        <f t="shared" si="0"/>
        <v>1</v>
      </c>
      <c r="N12" s="1">
        <f t="shared" si="0"/>
        <v>1</v>
      </c>
      <c r="O12" s="1">
        <f t="shared" si="0"/>
        <v>1</v>
      </c>
      <c r="P12" s="1">
        <f t="shared" si="0"/>
        <v>3</v>
      </c>
      <c r="Q12" s="1">
        <f t="shared" si="0"/>
        <v>1</v>
      </c>
      <c r="R12" s="1">
        <f>COUNTIF(R2:R11,"&lt;="&amp;R13)+1</f>
        <v>4</v>
      </c>
      <c r="S12" s="1">
        <f t="shared" si="0"/>
        <v>2</v>
      </c>
      <c r="T12" s="1">
        <f t="shared" si="0"/>
        <v>4</v>
      </c>
      <c r="U12" s="1">
        <f t="shared" si="0"/>
        <v>9</v>
      </c>
    </row>
    <row r="13" spans="1:21" x14ac:dyDescent="0.4">
      <c r="B13" s="1">
        <f>결과지_1!C7</f>
        <v>25</v>
      </c>
      <c r="C13" s="1">
        <f>결과지_1!D7</f>
        <v>23</v>
      </c>
      <c r="D13" s="1">
        <f>결과지_1!E7</f>
        <v>24</v>
      </c>
      <c r="E13" s="1">
        <f>결과지_1!F7</f>
        <v>25</v>
      </c>
      <c r="F13" s="1">
        <f>결과지_1!G7</f>
        <v>22</v>
      </c>
      <c r="G13" s="1">
        <f>결과지_1!H7</f>
        <v>20</v>
      </c>
      <c r="H13" s="1">
        <f>결과지_1!I7</f>
        <v>16</v>
      </c>
      <c r="I13" s="1">
        <f>결과지_1!J7</f>
        <v>23</v>
      </c>
      <c r="J13" s="1">
        <f>결과지_1!K7</f>
        <v>28</v>
      </c>
      <c r="K13" s="1">
        <f>결과지_1!L7</f>
        <v>23</v>
      </c>
      <c r="L13" s="1">
        <f>결과지_1!M7</f>
        <v>26</v>
      </c>
      <c r="M13" s="1">
        <f>결과지_1!N7</f>
        <v>18</v>
      </c>
      <c r="N13" s="1">
        <f>결과지_1!O7</f>
        <v>17</v>
      </c>
      <c r="O13" s="1">
        <f>결과지_1!P7</f>
        <v>15</v>
      </c>
      <c r="P13" s="1">
        <f>결과지_1!Q7</f>
        <v>19</v>
      </c>
      <c r="Q13" s="1">
        <f>결과지_1!R7</f>
        <v>16</v>
      </c>
      <c r="R13" s="1">
        <f>결과지_1!S7</f>
        <v>27</v>
      </c>
      <c r="S13" s="1">
        <f>결과지_1!T7</f>
        <v>22</v>
      </c>
      <c r="T13" s="1">
        <f>결과지_1!U7</f>
        <v>24</v>
      </c>
      <c r="U13" s="1">
        <f>결과지_1!V7</f>
        <v>36</v>
      </c>
    </row>
  </sheetData>
  <phoneticPr fontId="2" type="noConversion"/>
  <conditionalFormatting sqref="A1:XFD1 A11:XFD1048576 A2:Q10 S2:XFD10 R2:R9">
    <cfRule type="colorScale" priority="5">
      <colorScale>
        <cfvo type="min"/>
        <cfvo type="max"/>
        <color rgb="FFFCFCFF"/>
        <color rgb="FFF8696B"/>
      </colorScale>
    </cfRule>
  </conditionalFormatting>
  <conditionalFormatting sqref="A1:XFD1048576">
    <cfRule type="colorScale" priority="1">
      <colorScale>
        <cfvo type="min"/>
        <cfvo type="max"/>
        <color rgb="FFFCFCFF"/>
        <color rgb="FFF8696B"/>
      </colorScale>
    </cfRule>
  </conditionalFormatting>
  <conditionalFormatting sqref="B2:K11">
    <cfRule type="colorScale" priority="4">
      <colorScale>
        <cfvo type="min"/>
        <cfvo type="max"/>
        <color rgb="FFFCFCFF"/>
        <color rgb="FFF8696B"/>
      </colorScale>
    </cfRule>
  </conditionalFormatting>
  <conditionalFormatting sqref="B11:U11 B2:Q10 S2:U10 R2:R9">
    <cfRule type="colorScale" priority="2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28822-B473-45D7-AD12-FDA79BAF6E2E}">
  <dimension ref="A1:U13"/>
  <sheetViews>
    <sheetView workbookViewId="0">
      <selection activeCell="B12" sqref="B12"/>
    </sheetView>
  </sheetViews>
  <sheetFormatPr defaultColWidth="8.8984375" defaultRowHeight="17.399999999999999" x14ac:dyDescent="0.4"/>
  <cols>
    <col min="1" max="1" width="18.296875" style="1" customWidth="1"/>
    <col min="2" max="16384" width="8.8984375" style="1"/>
  </cols>
  <sheetData>
    <row r="1" spans="1:21" x14ac:dyDescent="0.4">
      <c r="A1" s="1" t="s">
        <v>41</v>
      </c>
      <c r="B1" s="1" t="s">
        <v>8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</row>
    <row r="2" spans="1:21" x14ac:dyDescent="0.4">
      <c r="A2" s="1">
        <v>1</v>
      </c>
      <c r="B2" s="1">
        <v>16</v>
      </c>
      <c r="C2" s="1">
        <v>21</v>
      </c>
      <c r="D2" s="1">
        <v>21</v>
      </c>
      <c r="E2" s="1">
        <v>17</v>
      </c>
      <c r="F2" s="1">
        <v>18</v>
      </c>
      <c r="G2" s="1">
        <v>15</v>
      </c>
      <c r="H2" s="1">
        <v>19</v>
      </c>
      <c r="I2" s="1">
        <v>23</v>
      </c>
      <c r="J2" s="1">
        <v>25</v>
      </c>
      <c r="K2" s="1">
        <v>18</v>
      </c>
      <c r="L2" s="1">
        <v>23</v>
      </c>
      <c r="M2" s="1">
        <v>24</v>
      </c>
      <c r="N2" s="1">
        <v>19</v>
      </c>
      <c r="O2" s="1">
        <v>17</v>
      </c>
      <c r="P2" s="1">
        <v>16</v>
      </c>
      <c r="Q2" s="1">
        <v>15</v>
      </c>
      <c r="R2" s="1">
        <v>23</v>
      </c>
      <c r="S2" s="1">
        <v>18</v>
      </c>
      <c r="T2" s="1">
        <v>20</v>
      </c>
      <c r="U2" s="1">
        <v>22</v>
      </c>
    </row>
    <row r="3" spans="1:21" x14ac:dyDescent="0.4">
      <c r="A3" s="1">
        <v>2</v>
      </c>
      <c r="B3" s="1">
        <v>18</v>
      </c>
      <c r="C3" s="1">
        <v>24</v>
      </c>
      <c r="D3" s="1">
        <v>24</v>
      </c>
      <c r="E3" s="1">
        <v>20</v>
      </c>
      <c r="F3" s="1">
        <v>20</v>
      </c>
      <c r="G3" s="1">
        <v>18</v>
      </c>
      <c r="H3" s="1">
        <v>21</v>
      </c>
      <c r="I3" s="1">
        <v>25</v>
      </c>
      <c r="J3" s="1">
        <v>28</v>
      </c>
      <c r="K3" s="1">
        <v>20</v>
      </c>
      <c r="L3" s="1">
        <v>26</v>
      </c>
      <c r="M3" s="1">
        <v>26</v>
      </c>
      <c r="N3" s="1">
        <v>21</v>
      </c>
      <c r="O3" s="1">
        <v>20</v>
      </c>
      <c r="P3" s="1">
        <v>19</v>
      </c>
      <c r="Q3" s="1">
        <v>18</v>
      </c>
      <c r="R3" s="1">
        <v>26</v>
      </c>
      <c r="S3" s="1">
        <v>20</v>
      </c>
      <c r="T3" s="1">
        <v>22</v>
      </c>
      <c r="U3" s="1">
        <v>24</v>
      </c>
    </row>
    <row r="4" spans="1:21" x14ac:dyDescent="0.4">
      <c r="A4" s="1">
        <v>3</v>
      </c>
      <c r="B4" s="1">
        <v>21</v>
      </c>
      <c r="C4" s="1">
        <v>26</v>
      </c>
      <c r="D4" s="1">
        <v>26</v>
      </c>
      <c r="E4" s="1">
        <v>22</v>
      </c>
      <c r="F4" s="1">
        <v>22</v>
      </c>
      <c r="G4" s="1">
        <v>21</v>
      </c>
      <c r="H4" s="1">
        <v>24</v>
      </c>
      <c r="I4" s="1">
        <v>27</v>
      </c>
      <c r="J4" s="1">
        <v>30</v>
      </c>
      <c r="K4" s="1">
        <v>22</v>
      </c>
      <c r="L4" s="1">
        <v>28</v>
      </c>
      <c r="M4" s="1">
        <v>29</v>
      </c>
      <c r="N4" s="1">
        <v>24</v>
      </c>
      <c r="O4" s="1">
        <v>23</v>
      </c>
      <c r="P4" s="1">
        <v>22</v>
      </c>
      <c r="Q4" s="1">
        <v>21</v>
      </c>
      <c r="R4" s="1">
        <v>28</v>
      </c>
      <c r="S4" s="1">
        <v>23</v>
      </c>
      <c r="T4" s="1">
        <v>25</v>
      </c>
      <c r="U4" s="1">
        <v>26</v>
      </c>
    </row>
    <row r="5" spans="1:21" x14ac:dyDescent="0.4">
      <c r="A5" s="1">
        <v>4</v>
      </c>
      <c r="B5" s="1">
        <v>24</v>
      </c>
      <c r="C5" s="1">
        <v>28</v>
      </c>
      <c r="D5" s="1">
        <v>28</v>
      </c>
      <c r="E5" s="1">
        <v>25</v>
      </c>
      <c r="F5" s="1">
        <v>25</v>
      </c>
      <c r="G5" s="1">
        <v>23</v>
      </c>
      <c r="H5" s="1">
        <v>26</v>
      </c>
      <c r="I5" s="1">
        <v>30</v>
      </c>
      <c r="J5" s="1">
        <v>33</v>
      </c>
      <c r="K5" s="1">
        <v>25</v>
      </c>
      <c r="L5" s="1">
        <v>30</v>
      </c>
      <c r="M5" s="1">
        <v>31</v>
      </c>
      <c r="N5" s="1">
        <v>27</v>
      </c>
      <c r="O5" s="1">
        <v>26</v>
      </c>
      <c r="P5" s="1">
        <v>24</v>
      </c>
      <c r="Q5" s="1">
        <v>24</v>
      </c>
      <c r="R5" s="1">
        <v>31</v>
      </c>
      <c r="S5" s="1">
        <v>25</v>
      </c>
      <c r="T5" s="1">
        <v>28</v>
      </c>
      <c r="U5" s="1">
        <v>29</v>
      </c>
    </row>
    <row r="6" spans="1:21" x14ac:dyDescent="0.4">
      <c r="A6" s="1">
        <v>5</v>
      </c>
      <c r="B6" s="1">
        <v>26</v>
      </c>
      <c r="C6" s="1">
        <v>31</v>
      </c>
      <c r="D6" s="1">
        <v>31</v>
      </c>
      <c r="E6" s="1">
        <v>27</v>
      </c>
      <c r="F6" s="1">
        <v>27</v>
      </c>
      <c r="G6" s="1">
        <v>26</v>
      </c>
      <c r="H6" s="1">
        <v>28</v>
      </c>
      <c r="I6" s="1">
        <v>32</v>
      </c>
      <c r="J6" s="1">
        <v>35</v>
      </c>
      <c r="K6" s="1">
        <v>27</v>
      </c>
      <c r="L6" s="1">
        <v>33</v>
      </c>
      <c r="M6" s="1">
        <v>33</v>
      </c>
      <c r="N6" s="1">
        <v>30</v>
      </c>
      <c r="O6" s="1">
        <v>29</v>
      </c>
      <c r="P6" s="1">
        <v>27</v>
      </c>
      <c r="Q6" s="1">
        <v>27</v>
      </c>
      <c r="R6" s="1">
        <v>33</v>
      </c>
      <c r="S6" s="1">
        <v>28</v>
      </c>
      <c r="T6" s="1">
        <v>30</v>
      </c>
      <c r="U6" s="1">
        <v>31</v>
      </c>
    </row>
    <row r="7" spans="1:21" x14ac:dyDescent="0.4">
      <c r="A7" s="1">
        <v>6</v>
      </c>
      <c r="B7" s="1">
        <v>29</v>
      </c>
      <c r="C7" s="1">
        <v>33</v>
      </c>
      <c r="D7" s="1">
        <v>33</v>
      </c>
      <c r="E7" s="1">
        <v>30</v>
      </c>
      <c r="F7" s="1">
        <v>29</v>
      </c>
      <c r="G7" s="1">
        <v>28</v>
      </c>
      <c r="H7" s="1">
        <v>31</v>
      </c>
      <c r="I7" s="1">
        <v>35</v>
      </c>
      <c r="J7" s="1">
        <v>38</v>
      </c>
      <c r="K7" s="1">
        <v>30</v>
      </c>
      <c r="L7" s="1">
        <v>35</v>
      </c>
      <c r="M7" s="1">
        <v>35</v>
      </c>
      <c r="N7" s="1">
        <v>32</v>
      </c>
      <c r="O7" s="1">
        <v>32</v>
      </c>
      <c r="P7" s="1">
        <v>30</v>
      </c>
      <c r="Q7" s="1">
        <v>30</v>
      </c>
      <c r="R7" s="1">
        <v>36</v>
      </c>
      <c r="S7" s="1">
        <v>30</v>
      </c>
      <c r="T7" s="1">
        <v>33</v>
      </c>
      <c r="U7" s="1">
        <v>33</v>
      </c>
    </row>
    <row r="8" spans="1:21" x14ac:dyDescent="0.4">
      <c r="A8" s="1">
        <v>7</v>
      </c>
      <c r="B8" s="1">
        <v>31</v>
      </c>
      <c r="C8" s="1">
        <v>35</v>
      </c>
      <c r="D8" s="1">
        <v>35</v>
      </c>
      <c r="E8" s="1">
        <v>32</v>
      </c>
      <c r="F8" s="1">
        <v>31</v>
      </c>
      <c r="G8" s="1">
        <v>31</v>
      </c>
      <c r="H8" s="1">
        <v>33</v>
      </c>
      <c r="I8" s="1">
        <v>37</v>
      </c>
      <c r="J8" s="1">
        <v>40</v>
      </c>
      <c r="K8" s="1">
        <v>32</v>
      </c>
      <c r="L8" s="1">
        <v>37</v>
      </c>
      <c r="M8" s="1">
        <v>37</v>
      </c>
      <c r="N8" s="1">
        <v>35</v>
      </c>
      <c r="O8" s="1">
        <v>35</v>
      </c>
      <c r="P8" s="1">
        <v>32</v>
      </c>
      <c r="Q8" s="1">
        <v>33</v>
      </c>
      <c r="R8" s="1">
        <v>38</v>
      </c>
      <c r="S8" s="1">
        <v>32</v>
      </c>
      <c r="T8" s="1">
        <v>35</v>
      </c>
      <c r="U8" s="1">
        <v>35</v>
      </c>
    </row>
    <row r="9" spans="1:21" x14ac:dyDescent="0.4">
      <c r="A9" s="1">
        <v>8</v>
      </c>
      <c r="B9" s="1">
        <v>34</v>
      </c>
      <c r="C9" s="1">
        <v>37</v>
      </c>
      <c r="D9" s="1">
        <v>38</v>
      </c>
      <c r="E9" s="1">
        <v>35</v>
      </c>
      <c r="F9" s="1">
        <v>34</v>
      </c>
      <c r="G9" s="1">
        <v>33</v>
      </c>
      <c r="H9" s="1">
        <v>35</v>
      </c>
      <c r="I9" s="1">
        <v>39</v>
      </c>
      <c r="J9" s="1">
        <v>43</v>
      </c>
      <c r="K9" s="1">
        <v>35</v>
      </c>
      <c r="L9" s="1">
        <v>40</v>
      </c>
      <c r="M9" s="1">
        <v>39</v>
      </c>
      <c r="N9" s="1">
        <v>38</v>
      </c>
      <c r="O9" s="1">
        <v>38</v>
      </c>
      <c r="P9" s="1">
        <v>35</v>
      </c>
      <c r="Q9" s="1">
        <v>36</v>
      </c>
      <c r="R9" s="1">
        <v>41</v>
      </c>
      <c r="S9" s="1">
        <v>35</v>
      </c>
      <c r="T9" s="1">
        <v>38</v>
      </c>
      <c r="U9" s="1">
        <v>38</v>
      </c>
    </row>
    <row r="10" spans="1:21" x14ac:dyDescent="0.4">
      <c r="A10" s="1">
        <v>9</v>
      </c>
      <c r="B10" s="1">
        <v>37</v>
      </c>
      <c r="C10" s="1">
        <v>40</v>
      </c>
      <c r="D10" s="1">
        <v>40</v>
      </c>
      <c r="E10" s="1">
        <v>37</v>
      </c>
      <c r="F10" s="1">
        <v>36</v>
      </c>
      <c r="G10" s="1">
        <v>36</v>
      </c>
      <c r="H10" s="1">
        <v>38</v>
      </c>
      <c r="I10" s="1">
        <v>42</v>
      </c>
      <c r="J10" s="1">
        <v>45</v>
      </c>
      <c r="K10" s="1">
        <v>37</v>
      </c>
      <c r="L10" s="1">
        <v>42</v>
      </c>
      <c r="M10" s="1">
        <v>41</v>
      </c>
      <c r="N10" s="1">
        <v>41</v>
      </c>
      <c r="O10" s="1">
        <v>41</v>
      </c>
      <c r="P10" s="1">
        <v>38</v>
      </c>
      <c r="Q10" s="1">
        <v>39</v>
      </c>
      <c r="R10" s="1">
        <v>43</v>
      </c>
      <c r="S10" s="1">
        <v>37</v>
      </c>
      <c r="T10" s="1">
        <v>41</v>
      </c>
      <c r="U10" s="1">
        <v>40</v>
      </c>
    </row>
    <row r="11" spans="1:21" x14ac:dyDescent="0.4">
      <c r="A11" s="1">
        <v>10</v>
      </c>
      <c r="B11" s="1">
        <v>51</v>
      </c>
      <c r="C11" s="1">
        <v>51</v>
      </c>
      <c r="D11" s="1">
        <v>51</v>
      </c>
      <c r="E11" s="1">
        <v>51</v>
      </c>
      <c r="F11" s="1">
        <v>51</v>
      </c>
      <c r="G11" s="1">
        <v>51</v>
      </c>
      <c r="H11" s="1">
        <v>51</v>
      </c>
      <c r="I11" s="1">
        <v>51</v>
      </c>
      <c r="J11" s="1">
        <v>51</v>
      </c>
      <c r="K11" s="1">
        <v>51</v>
      </c>
      <c r="L11" s="1">
        <v>51</v>
      </c>
      <c r="M11" s="1">
        <v>51</v>
      </c>
      <c r="N11" s="1">
        <v>51</v>
      </c>
      <c r="O11" s="1">
        <v>51</v>
      </c>
      <c r="P11" s="1">
        <v>51</v>
      </c>
      <c r="Q11" s="1">
        <v>51</v>
      </c>
      <c r="R11" s="1">
        <v>51</v>
      </c>
      <c r="S11" s="1">
        <v>51</v>
      </c>
      <c r="T11" s="1">
        <v>51</v>
      </c>
      <c r="U11" s="1">
        <v>51</v>
      </c>
    </row>
    <row r="12" spans="1:21" x14ac:dyDescent="0.4">
      <c r="B12" s="1">
        <f>COUNTIF(B2:B11,"&lt;="&amp;B13)+1</f>
        <v>5</v>
      </c>
      <c r="C12" s="1">
        <f>COUNTIF(C2:C11,"&lt;="&amp;C13)+1</f>
        <v>2</v>
      </c>
      <c r="D12" s="1">
        <f t="shared" ref="D12:U12" si="0">COUNTIF(D2:D11,"&lt;="&amp;D13)+1</f>
        <v>3</v>
      </c>
      <c r="E12" s="1">
        <f t="shared" si="0"/>
        <v>5</v>
      </c>
      <c r="F12" s="1">
        <f t="shared" si="0"/>
        <v>4</v>
      </c>
      <c r="G12" s="1">
        <f t="shared" si="0"/>
        <v>3</v>
      </c>
      <c r="H12" s="1">
        <f t="shared" si="0"/>
        <v>1</v>
      </c>
      <c r="I12" s="1">
        <f t="shared" si="0"/>
        <v>2</v>
      </c>
      <c r="J12" s="1">
        <f t="shared" si="0"/>
        <v>3</v>
      </c>
      <c r="K12" s="1">
        <f t="shared" si="0"/>
        <v>4</v>
      </c>
      <c r="L12" s="1">
        <f t="shared" si="0"/>
        <v>3</v>
      </c>
      <c r="M12" s="1">
        <f t="shared" si="0"/>
        <v>1</v>
      </c>
      <c r="N12" s="1">
        <f t="shared" si="0"/>
        <v>1</v>
      </c>
      <c r="O12" s="1">
        <f t="shared" si="0"/>
        <v>1</v>
      </c>
      <c r="P12" s="1">
        <f t="shared" si="0"/>
        <v>3</v>
      </c>
      <c r="Q12" s="1">
        <f t="shared" si="0"/>
        <v>2</v>
      </c>
      <c r="R12" s="1">
        <f t="shared" si="0"/>
        <v>3</v>
      </c>
      <c r="S12" s="1">
        <f t="shared" si="0"/>
        <v>3</v>
      </c>
      <c r="T12" s="1">
        <f t="shared" si="0"/>
        <v>3</v>
      </c>
      <c r="U12" s="1">
        <f t="shared" si="0"/>
        <v>8</v>
      </c>
    </row>
    <row r="13" spans="1:21" x14ac:dyDescent="0.4">
      <c r="B13" s="1">
        <f>결과지_1!C7</f>
        <v>25</v>
      </c>
      <c r="C13" s="1">
        <f>결과지_1!D7</f>
        <v>23</v>
      </c>
      <c r="D13" s="1">
        <f>결과지_1!E7</f>
        <v>24</v>
      </c>
      <c r="E13" s="1">
        <f>결과지_1!F7</f>
        <v>25</v>
      </c>
      <c r="F13" s="1">
        <f>결과지_1!G7</f>
        <v>22</v>
      </c>
      <c r="G13" s="1">
        <f>결과지_1!H7</f>
        <v>20</v>
      </c>
      <c r="H13" s="1">
        <f>결과지_1!I7</f>
        <v>16</v>
      </c>
      <c r="I13" s="1">
        <f>결과지_1!J7</f>
        <v>23</v>
      </c>
      <c r="J13" s="1">
        <f>결과지_1!K7</f>
        <v>28</v>
      </c>
      <c r="K13" s="1">
        <f>결과지_1!L7</f>
        <v>23</v>
      </c>
      <c r="L13" s="1">
        <f>결과지_1!M7</f>
        <v>26</v>
      </c>
      <c r="M13" s="1">
        <f>결과지_1!N7</f>
        <v>18</v>
      </c>
      <c r="N13" s="1">
        <f>결과지_1!O7</f>
        <v>17</v>
      </c>
      <c r="O13" s="1">
        <f>결과지_1!P7</f>
        <v>15</v>
      </c>
      <c r="P13" s="1">
        <f>결과지_1!Q7</f>
        <v>19</v>
      </c>
      <c r="Q13" s="1">
        <f>결과지_1!R7</f>
        <v>16</v>
      </c>
      <c r="R13" s="1">
        <f>결과지_1!S7</f>
        <v>27</v>
      </c>
      <c r="S13" s="1">
        <f>결과지_1!T7</f>
        <v>22</v>
      </c>
      <c r="T13" s="1">
        <f>결과지_1!U7</f>
        <v>24</v>
      </c>
      <c r="U13" s="1">
        <f>결과지_1!V7</f>
        <v>36</v>
      </c>
    </row>
  </sheetData>
  <phoneticPr fontId="2" type="noConversion"/>
  <conditionalFormatting sqref="A1:XFD1048576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B15B9-F693-455B-8A95-3EE5CE5AB3B9}">
  <dimension ref="A1:U13"/>
  <sheetViews>
    <sheetView workbookViewId="0">
      <selection activeCell="J16" sqref="J16"/>
    </sheetView>
  </sheetViews>
  <sheetFormatPr defaultColWidth="8.8984375" defaultRowHeight="17.399999999999999" x14ac:dyDescent="0.4"/>
  <cols>
    <col min="1" max="1" width="18.296875" style="1" customWidth="1"/>
    <col min="2" max="16384" width="8.8984375" style="1"/>
  </cols>
  <sheetData>
    <row r="1" spans="1:21" x14ac:dyDescent="0.4">
      <c r="A1" s="1" t="s">
        <v>42</v>
      </c>
      <c r="B1" s="1" t="s">
        <v>8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</row>
    <row r="2" spans="1:21" x14ac:dyDescent="0.4">
      <c r="A2" s="1">
        <v>1</v>
      </c>
      <c r="B2" s="1">
        <v>18</v>
      </c>
      <c r="C2" s="1">
        <v>22</v>
      </c>
      <c r="D2" s="1">
        <v>25</v>
      </c>
      <c r="E2" s="1">
        <v>19</v>
      </c>
      <c r="F2" s="1">
        <v>18</v>
      </c>
      <c r="G2" s="1">
        <v>19</v>
      </c>
      <c r="H2" s="1">
        <v>21</v>
      </c>
      <c r="I2" s="1">
        <v>23</v>
      </c>
      <c r="J2" s="1">
        <v>26</v>
      </c>
      <c r="K2" s="1">
        <v>20</v>
      </c>
      <c r="L2" s="1">
        <v>24</v>
      </c>
      <c r="M2" s="1">
        <v>24</v>
      </c>
      <c r="N2" s="1">
        <v>21</v>
      </c>
      <c r="O2" s="1">
        <v>22</v>
      </c>
      <c r="P2" s="1">
        <v>19</v>
      </c>
      <c r="Q2" s="1">
        <v>16</v>
      </c>
      <c r="R2" s="1">
        <v>23</v>
      </c>
      <c r="S2" s="1">
        <v>22</v>
      </c>
      <c r="T2" s="1">
        <v>18</v>
      </c>
      <c r="U2" s="1">
        <v>23</v>
      </c>
    </row>
    <row r="3" spans="1:21" x14ac:dyDescent="0.4">
      <c r="A3" s="1">
        <v>2</v>
      </c>
      <c r="B3" s="1">
        <v>20</v>
      </c>
      <c r="C3" s="1">
        <v>24</v>
      </c>
      <c r="D3" s="1">
        <v>27</v>
      </c>
      <c r="E3" s="1">
        <v>22</v>
      </c>
      <c r="F3" s="1">
        <v>20</v>
      </c>
      <c r="G3" s="1">
        <v>21</v>
      </c>
      <c r="H3" s="1">
        <v>23</v>
      </c>
      <c r="I3" s="1">
        <v>25</v>
      </c>
      <c r="J3" s="1">
        <v>28</v>
      </c>
      <c r="K3" s="1">
        <v>22</v>
      </c>
      <c r="L3" s="1">
        <v>26</v>
      </c>
      <c r="M3" s="1">
        <v>27</v>
      </c>
      <c r="N3" s="1">
        <v>24</v>
      </c>
      <c r="O3" s="1">
        <v>25</v>
      </c>
      <c r="P3" s="1">
        <v>22</v>
      </c>
      <c r="Q3" s="1">
        <v>19</v>
      </c>
      <c r="R3" s="1">
        <v>26</v>
      </c>
      <c r="S3" s="1">
        <v>24</v>
      </c>
      <c r="T3" s="1">
        <v>21</v>
      </c>
      <c r="U3" s="1">
        <v>25</v>
      </c>
    </row>
    <row r="4" spans="1:21" x14ac:dyDescent="0.4">
      <c r="A4" s="1">
        <v>3</v>
      </c>
      <c r="B4" s="1">
        <v>23</v>
      </c>
      <c r="C4" s="1">
        <v>26</v>
      </c>
      <c r="D4" s="1">
        <v>29</v>
      </c>
      <c r="E4" s="1">
        <v>24</v>
      </c>
      <c r="F4" s="1">
        <v>23</v>
      </c>
      <c r="G4" s="1">
        <v>23</v>
      </c>
      <c r="H4" s="1">
        <v>25</v>
      </c>
      <c r="I4" s="1">
        <v>28</v>
      </c>
      <c r="J4" s="1">
        <v>31</v>
      </c>
      <c r="K4" s="1">
        <v>24</v>
      </c>
      <c r="L4" s="1">
        <v>29</v>
      </c>
      <c r="M4" s="1">
        <v>29</v>
      </c>
      <c r="N4" s="1">
        <v>27</v>
      </c>
      <c r="O4" s="1">
        <v>28</v>
      </c>
      <c r="P4" s="1">
        <v>24</v>
      </c>
      <c r="Q4" s="1">
        <v>21</v>
      </c>
      <c r="R4" s="1">
        <v>28</v>
      </c>
      <c r="S4" s="1">
        <v>26</v>
      </c>
      <c r="T4" s="1">
        <v>24</v>
      </c>
      <c r="U4" s="1">
        <v>27</v>
      </c>
    </row>
    <row r="5" spans="1:21" x14ac:dyDescent="0.4">
      <c r="A5" s="1">
        <v>4</v>
      </c>
      <c r="B5" s="1">
        <v>25</v>
      </c>
      <c r="C5" s="1">
        <v>29</v>
      </c>
      <c r="D5" s="1">
        <v>31</v>
      </c>
      <c r="E5" s="1">
        <v>27</v>
      </c>
      <c r="F5" s="1">
        <v>26</v>
      </c>
      <c r="G5" s="1">
        <v>26</v>
      </c>
      <c r="H5" s="1">
        <v>27</v>
      </c>
      <c r="I5" s="1">
        <v>30</v>
      </c>
      <c r="J5" s="1">
        <v>33</v>
      </c>
      <c r="K5" s="1">
        <v>27</v>
      </c>
      <c r="L5" s="1">
        <v>31</v>
      </c>
      <c r="M5" s="1">
        <v>31</v>
      </c>
      <c r="N5" s="1">
        <v>30</v>
      </c>
      <c r="O5" s="1">
        <v>30</v>
      </c>
      <c r="P5" s="1">
        <v>26</v>
      </c>
      <c r="Q5" s="1">
        <v>24</v>
      </c>
      <c r="R5" s="1">
        <v>31</v>
      </c>
      <c r="S5" s="1">
        <v>29</v>
      </c>
      <c r="T5" s="1">
        <v>27</v>
      </c>
      <c r="U5" s="1">
        <v>29</v>
      </c>
    </row>
    <row r="6" spans="1:21" x14ac:dyDescent="0.4">
      <c r="A6" s="1">
        <v>5</v>
      </c>
      <c r="B6" s="1">
        <v>28</v>
      </c>
      <c r="C6" s="1">
        <v>31</v>
      </c>
      <c r="D6" s="1">
        <v>33</v>
      </c>
      <c r="E6" s="1">
        <v>29</v>
      </c>
      <c r="F6" s="1">
        <v>29</v>
      </c>
      <c r="G6" s="1">
        <v>28</v>
      </c>
      <c r="H6" s="1">
        <v>29</v>
      </c>
      <c r="I6" s="1">
        <v>32</v>
      </c>
      <c r="J6" s="1">
        <v>35</v>
      </c>
      <c r="K6" s="1">
        <v>29</v>
      </c>
      <c r="L6" s="1">
        <v>34</v>
      </c>
      <c r="M6" s="1">
        <v>33</v>
      </c>
      <c r="N6" s="1">
        <v>33</v>
      </c>
      <c r="O6" s="1">
        <v>33</v>
      </c>
      <c r="P6" s="1">
        <v>28</v>
      </c>
      <c r="Q6" s="1">
        <v>27</v>
      </c>
      <c r="R6" s="1">
        <v>34</v>
      </c>
      <c r="S6" s="1">
        <v>31</v>
      </c>
      <c r="T6" s="1">
        <v>30</v>
      </c>
      <c r="U6" s="1">
        <v>31</v>
      </c>
    </row>
    <row r="7" spans="1:21" x14ac:dyDescent="0.4">
      <c r="A7" s="1">
        <v>6</v>
      </c>
      <c r="B7" s="1">
        <v>31</v>
      </c>
      <c r="C7" s="1">
        <v>33</v>
      </c>
      <c r="D7" s="1">
        <v>35</v>
      </c>
      <c r="E7" s="1">
        <v>31</v>
      </c>
      <c r="F7" s="1">
        <v>32</v>
      </c>
      <c r="G7" s="1">
        <v>30</v>
      </c>
      <c r="H7" s="1">
        <v>31</v>
      </c>
      <c r="I7" s="1">
        <v>35</v>
      </c>
      <c r="J7" s="1">
        <v>38</v>
      </c>
      <c r="K7" s="1">
        <v>32</v>
      </c>
      <c r="L7" s="1">
        <v>36</v>
      </c>
      <c r="M7" s="1">
        <v>36</v>
      </c>
      <c r="N7" s="1">
        <v>36</v>
      </c>
      <c r="O7" s="1">
        <v>36</v>
      </c>
      <c r="P7" s="1">
        <v>31</v>
      </c>
      <c r="Q7" s="1">
        <v>30</v>
      </c>
      <c r="R7" s="1">
        <v>36</v>
      </c>
      <c r="S7" s="1">
        <v>33</v>
      </c>
      <c r="T7" s="1">
        <v>33</v>
      </c>
      <c r="U7" s="1">
        <v>33</v>
      </c>
    </row>
    <row r="8" spans="1:21" x14ac:dyDescent="0.4">
      <c r="A8" s="1">
        <v>7</v>
      </c>
      <c r="B8" s="1">
        <v>33</v>
      </c>
      <c r="C8" s="1">
        <v>36</v>
      </c>
      <c r="D8" s="1">
        <v>37</v>
      </c>
      <c r="E8" s="1">
        <v>34</v>
      </c>
      <c r="F8" s="1">
        <v>35</v>
      </c>
      <c r="G8" s="1">
        <v>33</v>
      </c>
      <c r="H8" s="1">
        <v>33</v>
      </c>
      <c r="I8" s="1">
        <v>37</v>
      </c>
      <c r="J8" s="1">
        <v>40</v>
      </c>
      <c r="K8" s="1">
        <v>34</v>
      </c>
      <c r="L8" s="1">
        <v>38</v>
      </c>
      <c r="M8" s="1">
        <v>38</v>
      </c>
      <c r="N8" s="1">
        <v>38</v>
      </c>
      <c r="O8" s="1">
        <v>39</v>
      </c>
      <c r="P8" s="1">
        <v>33</v>
      </c>
      <c r="Q8" s="1">
        <v>32</v>
      </c>
      <c r="R8" s="1">
        <v>39</v>
      </c>
      <c r="S8" s="1">
        <v>35</v>
      </c>
      <c r="T8" s="1">
        <v>35</v>
      </c>
      <c r="U8" s="1">
        <v>35</v>
      </c>
    </row>
    <row r="9" spans="1:21" x14ac:dyDescent="0.4">
      <c r="A9" s="1">
        <v>8</v>
      </c>
      <c r="B9" s="1">
        <v>36</v>
      </c>
      <c r="C9" s="1">
        <v>38</v>
      </c>
      <c r="D9" s="1">
        <v>39</v>
      </c>
      <c r="E9" s="1">
        <v>36</v>
      </c>
      <c r="F9" s="1">
        <v>38</v>
      </c>
      <c r="G9" s="1">
        <v>35</v>
      </c>
      <c r="H9" s="1">
        <v>35</v>
      </c>
      <c r="I9" s="1">
        <v>39</v>
      </c>
      <c r="J9" s="1">
        <v>42</v>
      </c>
      <c r="K9" s="1">
        <v>36</v>
      </c>
      <c r="L9" s="1">
        <v>41</v>
      </c>
      <c r="M9" s="1">
        <v>40</v>
      </c>
      <c r="N9" s="1">
        <v>41</v>
      </c>
      <c r="O9" s="1">
        <v>42</v>
      </c>
      <c r="P9" s="1">
        <v>35</v>
      </c>
      <c r="Q9" s="1">
        <v>35</v>
      </c>
      <c r="R9" s="1">
        <v>41</v>
      </c>
      <c r="S9" s="1">
        <v>37</v>
      </c>
      <c r="T9" s="1">
        <v>38</v>
      </c>
      <c r="U9" s="1">
        <v>37</v>
      </c>
    </row>
    <row r="10" spans="1:21" x14ac:dyDescent="0.4">
      <c r="A10" s="1">
        <v>9</v>
      </c>
      <c r="B10" s="1">
        <v>38</v>
      </c>
      <c r="C10" s="1">
        <v>40</v>
      </c>
      <c r="D10" s="1">
        <v>41</v>
      </c>
      <c r="E10" s="1">
        <v>39</v>
      </c>
      <c r="F10" s="1">
        <v>40</v>
      </c>
      <c r="G10" s="1">
        <v>37</v>
      </c>
      <c r="H10" s="1">
        <v>37</v>
      </c>
      <c r="I10" s="1">
        <v>42</v>
      </c>
      <c r="J10" s="1">
        <v>45</v>
      </c>
      <c r="K10" s="1">
        <v>39</v>
      </c>
      <c r="L10" s="1">
        <v>43</v>
      </c>
      <c r="M10" s="1">
        <v>43</v>
      </c>
      <c r="N10" s="1">
        <v>44</v>
      </c>
      <c r="O10" s="1">
        <v>44</v>
      </c>
      <c r="P10" s="1">
        <v>37</v>
      </c>
      <c r="Q10" s="1">
        <v>38</v>
      </c>
      <c r="R10" s="1">
        <v>44</v>
      </c>
      <c r="S10" s="1">
        <v>39</v>
      </c>
      <c r="T10" s="1">
        <v>41</v>
      </c>
      <c r="U10" s="1">
        <v>39</v>
      </c>
    </row>
    <row r="11" spans="1:21" x14ac:dyDescent="0.4">
      <c r="A11" s="1">
        <v>10</v>
      </c>
      <c r="B11" s="1">
        <v>51</v>
      </c>
      <c r="C11" s="1">
        <v>51</v>
      </c>
      <c r="D11" s="1">
        <v>51</v>
      </c>
      <c r="E11" s="1">
        <v>51</v>
      </c>
      <c r="F11" s="1">
        <v>51</v>
      </c>
      <c r="G11" s="1">
        <v>51</v>
      </c>
      <c r="H11" s="1">
        <v>51</v>
      </c>
      <c r="I11" s="1">
        <v>51</v>
      </c>
      <c r="J11" s="1">
        <v>51</v>
      </c>
      <c r="K11" s="1">
        <v>51</v>
      </c>
      <c r="L11" s="1">
        <v>51</v>
      </c>
      <c r="M11" s="1">
        <v>51</v>
      </c>
      <c r="N11" s="1">
        <v>51</v>
      </c>
      <c r="O11" s="1">
        <v>51</v>
      </c>
      <c r="P11" s="1">
        <v>51</v>
      </c>
      <c r="Q11" s="1">
        <v>51</v>
      </c>
      <c r="R11" s="1">
        <v>51</v>
      </c>
      <c r="S11" s="1">
        <v>51</v>
      </c>
      <c r="T11" s="1">
        <v>51</v>
      </c>
      <c r="U11" s="1">
        <v>51</v>
      </c>
    </row>
    <row r="12" spans="1:21" x14ac:dyDescent="0.4">
      <c r="B12" s="1">
        <f>COUNTIF(B2:B11,"&lt;="&amp;B13)+1</f>
        <v>5</v>
      </c>
      <c r="C12" s="1">
        <f>COUNTIF(C2:C11,"&lt;="&amp;C13)+1</f>
        <v>2</v>
      </c>
      <c r="D12" s="1">
        <f t="shared" ref="D12:U12" si="0">COUNTIF(D2:D11,"&lt;="&amp;D13)+1</f>
        <v>1</v>
      </c>
      <c r="E12" s="1">
        <f t="shared" si="0"/>
        <v>4</v>
      </c>
      <c r="F12" s="1">
        <f t="shared" si="0"/>
        <v>3</v>
      </c>
      <c r="G12" s="1">
        <f t="shared" si="0"/>
        <v>2</v>
      </c>
      <c r="H12" s="1">
        <f t="shared" si="0"/>
        <v>1</v>
      </c>
      <c r="I12" s="1">
        <f t="shared" si="0"/>
        <v>2</v>
      </c>
      <c r="J12" s="1">
        <f t="shared" si="0"/>
        <v>3</v>
      </c>
      <c r="K12" s="1">
        <f t="shared" si="0"/>
        <v>3</v>
      </c>
      <c r="L12" s="1">
        <f t="shared" si="0"/>
        <v>3</v>
      </c>
      <c r="M12" s="1">
        <f t="shared" si="0"/>
        <v>1</v>
      </c>
      <c r="N12" s="1">
        <f t="shared" si="0"/>
        <v>1</v>
      </c>
      <c r="O12" s="1">
        <f t="shared" si="0"/>
        <v>1</v>
      </c>
      <c r="P12" s="1">
        <f t="shared" si="0"/>
        <v>2</v>
      </c>
      <c r="Q12" s="1">
        <f t="shared" si="0"/>
        <v>2</v>
      </c>
      <c r="R12" s="1">
        <f t="shared" si="0"/>
        <v>3</v>
      </c>
      <c r="S12" s="1">
        <f t="shared" si="0"/>
        <v>2</v>
      </c>
      <c r="T12" s="1">
        <f t="shared" si="0"/>
        <v>4</v>
      </c>
      <c r="U12" s="1">
        <f t="shared" si="0"/>
        <v>8</v>
      </c>
    </row>
    <row r="13" spans="1:21" x14ac:dyDescent="0.4">
      <c r="B13" s="1">
        <f>결과지_1!C7</f>
        <v>25</v>
      </c>
      <c r="C13" s="1">
        <f>결과지_1!D7</f>
        <v>23</v>
      </c>
      <c r="D13" s="1">
        <f>결과지_1!E7</f>
        <v>24</v>
      </c>
      <c r="E13" s="1">
        <f>결과지_1!F7</f>
        <v>25</v>
      </c>
      <c r="F13" s="1">
        <f>결과지_1!G7</f>
        <v>22</v>
      </c>
      <c r="G13" s="1">
        <f>결과지_1!H7</f>
        <v>20</v>
      </c>
      <c r="H13" s="1">
        <f>결과지_1!I7</f>
        <v>16</v>
      </c>
      <c r="I13" s="1">
        <f>결과지_1!J7</f>
        <v>23</v>
      </c>
      <c r="J13" s="1">
        <f>결과지_1!K7</f>
        <v>28</v>
      </c>
      <c r="K13" s="1">
        <f>결과지_1!L7</f>
        <v>23</v>
      </c>
      <c r="L13" s="1">
        <f>결과지_1!M7</f>
        <v>26</v>
      </c>
      <c r="M13" s="1">
        <f>결과지_1!N7</f>
        <v>18</v>
      </c>
      <c r="N13" s="1">
        <f>결과지_1!O7</f>
        <v>17</v>
      </c>
      <c r="O13" s="1">
        <f>결과지_1!P7</f>
        <v>15</v>
      </c>
      <c r="P13" s="1">
        <f>결과지_1!Q7</f>
        <v>19</v>
      </c>
      <c r="Q13" s="1">
        <f>결과지_1!R7</f>
        <v>16</v>
      </c>
      <c r="R13" s="1">
        <f>결과지_1!S7</f>
        <v>27</v>
      </c>
      <c r="S13" s="1">
        <f>결과지_1!T7</f>
        <v>22</v>
      </c>
      <c r="T13" s="1">
        <f>결과지_1!U7</f>
        <v>24</v>
      </c>
      <c r="U13" s="1">
        <f>결과지_1!V7</f>
        <v>36</v>
      </c>
    </row>
  </sheetData>
  <phoneticPr fontId="2" type="noConversion"/>
  <conditionalFormatting sqref="A1:XFD1048576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응답지_1</vt:lpstr>
      <vt:lpstr>결과지_1</vt:lpstr>
      <vt:lpstr>규준표11</vt:lpstr>
      <vt:lpstr>규준표12</vt:lpstr>
      <vt:lpstr>규준표21</vt:lpstr>
      <vt:lpstr>규준표22</vt:lpstr>
      <vt:lpstr>규준표31</vt:lpstr>
      <vt:lpstr>규준표32</vt:lpstr>
      <vt:lpstr>규준표41</vt:lpstr>
      <vt:lpstr>규준표42</vt:lpstr>
    </vt:vector>
  </TitlesOfParts>
  <Company>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Name</dc:creator>
  <cp:lastModifiedBy>Ingyu Rho</cp:lastModifiedBy>
  <cp:lastPrinted>2011-05-23T01:06:37Z</cp:lastPrinted>
  <dcterms:created xsi:type="dcterms:W3CDTF">2011-04-07T09:23:36Z</dcterms:created>
  <dcterms:modified xsi:type="dcterms:W3CDTF">2025-10-16T09:19:09Z</dcterms:modified>
</cp:coreProperties>
</file>